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g Delivery Model description" sheetId="1" r:id="rId4"/>
    <sheet state="visible" name="M&amp;A Target Copany valuation" sheetId="2" r:id="rId5"/>
    <sheet state="visible" name="in-house cost analysis - Roadie" sheetId="3" r:id="rId6"/>
    <sheet state="visible" name="ROI analysis - Roadie Model" sheetId="4" r:id="rId7"/>
    <sheet state="visible" name="ROI analysis - Amazon Flex Mode" sheetId="5" r:id="rId8"/>
  </sheets>
  <definedNames/>
  <calcPr/>
  <extLst>
    <ext uri="GoogleSheetsCustomDataVersion2">
      <go:sheetsCustomData xmlns:go="http://customooxmlschemas.google.com/" r:id="rId9" roundtripDataChecksum="WZjtrGkLOkrNjCNaxuf4LmE+o+WoOaTUhnQyOx8U4m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
ID#AAABudG3Qsc
Tianyi Guan    (2025-12-03 21:31:55)
up to date on Factset</t>
      </text>
    </comment>
    <comment authorId="0" ref="B8">
      <text>
        <t xml:space="preserve">======
ID#AAABudG3Qsg
Tianyi Guan    (2025-12-03 21:31:55)
post-money valuation as of 2022</t>
      </text>
    </comment>
    <comment authorId="0" ref="C20">
      <text>
        <t xml:space="preserve">======
ID#AAABudG3Qsk
Tianyi Guan    (2025-12-03 21:31:55)
at the time of acquisition 2017</t>
      </text>
    </comment>
    <comment authorId="0" ref="B31">
      <text>
        <t xml:space="preserve">======
ID#AAABudG3QsQ
Tianyi Guan    (2025-12-03 21:31:55)
Dec 2023</t>
      </text>
    </comment>
    <comment authorId="0" ref="B13">
      <text>
        <t xml:space="preserve">======
ID#AAABudG3QsU
Tianyi Guan    (2025-12-03 21:31:55)
Dec 2023</t>
      </text>
    </comment>
    <comment authorId="0" ref="C10">
      <text>
        <t xml:space="preserve">======
ID#AAABudG3QsY
Tianyi Guan    (2025-12-03 21:31:55)
Tianyi Guan
Dec 2023</t>
      </text>
    </comment>
  </commentList>
  <extLst>
    <ext uri="GoogleSheetsCustomDataVersion2">
      <go:sheetsCustomData xmlns:go="http://customooxmlschemas.google.com/" r:id="rId1" roundtripDataSignature="AMtx7mh+b8XYJOcCsNAymllZWXBD2V4kL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5">
      <text>
        <t xml:space="preserve">======
ID#AAABudG3Qso
Tianyi Guan    (2025-12-03 21:31:55)
Package volume data from digitalcommerce360, daily volume is 5.64mn</t>
      </text>
    </comment>
  </commentList>
  <extLst>
    <ext uri="GoogleSheetsCustomDataVersion2">
      <go:sheetsCustomData xmlns:go="http://customooxmlschemas.google.com/" r:id="rId1" roundtripDataSignature="AMtx7mjaVp1wP0artFdbDy0Xlgnsu+8frQ=="/>
    </ext>
  </extLst>
</comments>
</file>

<file path=xl/sharedStrings.xml><?xml version="1.0" encoding="utf-8"?>
<sst xmlns="http://schemas.openxmlformats.org/spreadsheetml/2006/main" count="294" uniqueCount="203">
  <si>
    <t>Note: This sheet include three main content, including an introduction discussing the main difference between Amazon Flex and UPS Roadie business model. The second part is cost structure analysis of UPS Roadie model leading to calculation of profit margin. We then compare the profit margin of this model with existing Fedex profit margin per package, which we can therefore grasp the savings per package if we are to adopt in-house build with UPS Roadie model.</t>
  </si>
  <si>
    <t>Model description</t>
  </si>
  <si>
    <t>Amazon Flex</t>
  </si>
  <si>
    <t>UPS roadie</t>
  </si>
  <si>
    <t>Target Shipt</t>
  </si>
  <si>
    <t>"block" as pre-set shift, usually 3-5 hours long, where the drivers agree to deliver all packages assigned for certain block in assigned time window; The app provides delivery routing;</t>
  </si>
  <si>
    <t>deliver pre-packed orders, roadie drivers pick up packages from local retail pickup points(partner stores, UPS stores or Access Point)</t>
  </si>
  <si>
    <t xml:space="preserve">shoppers accept order in App, shop instore(Target, CVS, ), deliver to customer. </t>
  </si>
  <si>
    <t>Compensation Structure</t>
  </si>
  <si>
    <t>paid per block + tips for some sectors(Amz Fresh, Whole Foods, Prime)</t>
  </si>
  <si>
    <t>per delivery</t>
  </si>
  <si>
    <t>paid per order. Base + 100% tip</t>
  </si>
  <si>
    <t>packages delivered/hr</t>
  </si>
  <si>
    <t>$15-20 packages/hour; $10-12/hr in rural areas, $20-25/hr in apartments or dense zone</t>
  </si>
  <si>
    <t>$8-20 per delivery, $400-800 for full time drivers(40-60hrs), $200-500 for part time drivers(20-30hrs)</t>
  </si>
  <si>
    <t>$6-10/order, $400-700 for full-time workders， $200-400 for part time workers</t>
  </si>
  <si>
    <t>Note: Using multiples valuation to calculate price of potential target company with 2 ways of multiples calculation. Valuation of our target companies are conducted in both comparable company valuation and post money valuation for cross check.</t>
  </si>
  <si>
    <t>All value in USD mn</t>
  </si>
  <si>
    <t>Comparable Company Multiple</t>
  </si>
  <si>
    <t>company</t>
  </si>
  <si>
    <t>EV</t>
  </si>
  <si>
    <t>Revenue</t>
  </si>
  <si>
    <t>Implied Multiples</t>
  </si>
  <si>
    <t>Notes</t>
  </si>
  <si>
    <t>Doordash</t>
  </si>
  <si>
    <t>Uber</t>
  </si>
  <si>
    <t>Instacart</t>
  </si>
  <si>
    <t>Veho</t>
  </si>
  <si>
    <t>Multiples(Median)</t>
  </si>
  <si>
    <t>Target company valuation (Comparable Company)</t>
  </si>
  <si>
    <t>Multiples</t>
  </si>
  <si>
    <t>Valuation(EV)</t>
  </si>
  <si>
    <t>jitsu</t>
  </si>
  <si>
    <t>Uniuni</t>
  </si>
  <si>
    <t>onerail</t>
  </si>
  <si>
    <t>Post-Money Multiples</t>
  </si>
  <si>
    <t>shipt(Target)</t>
  </si>
  <si>
    <t>postmates(Uber)</t>
  </si>
  <si>
    <t>BevMo!(GoPuff)</t>
  </si>
  <si>
    <t>Drizly(Uber)</t>
  </si>
  <si>
    <t>Grubhub(JET)</t>
  </si>
  <si>
    <t>Parcel(Walmart)</t>
  </si>
  <si>
    <t>Linkx Logistics(DHL)</t>
  </si>
  <si>
    <t>Target company valuation (Post-money)</t>
  </si>
  <si>
    <t xml:space="preserve">Multiple </t>
  </si>
  <si>
    <t>Cost Structure with gig (based on UPS Roadie)</t>
  </si>
  <si>
    <t xml:space="preserve">Category </t>
  </si>
  <si>
    <t>Approx % of Revenue</t>
  </si>
  <si>
    <t xml:space="preserve">Notes </t>
  </si>
  <si>
    <t>Nature</t>
  </si>
  <si>
    <t>Driver pay &amp; incentives</t>
  </si>
  <si>
    <t>65-75%</t>
  </si>
  <si>
    <t>variable</t>
  </si>
  <si>
    <t>Platform operations &amp; technology</t>
  </si>
  <si>
    <t>8-12%</t>
  </si>
  <si>
    <t>Server hosting, engineering, route optimization, support staff, app maintenance (supported by the 99 % uptime commitment)</t>
  </si>
  <si>
    <t>fixed</t>
  </si>
  <si>
    <t>Insurance &amp; compliance</t>
  </si>
  <si>
    <t>3-5%</t>
  </si>
  <si>
    <t>Liability coverage, background checks, regulatory filings.</t>
  </si>
  <si>
    <t xml:space="preserve">Customer onboarding &amp; support </t>
  </si>
  <si>
    <t>2-4%</t>
  </si>
  <si>
    <t>API integration, client success teams, invoicing, helpdesk.</t>
  </si>
  <si>
    <t>Corporate overhead</t>
  </si>
  <si>
    <t>5-8%</t>
  </si>
  <si>
    <t>Admin salaries, office costs, marketing, UPS shared services.</t>
  </si>
  <si>
    <t>Other</t>
  </si>
  <si>
    <t>1-3%</t>
  </si>
  <si>
    <t>Total</t>
  </si>
  <si>
    <t>85%-95%</t>
  </si>
  <si>
    <t>UPS Roadie model profit margin</t>
  </si>
  <si>
    <t>Profit margin</t>
  </si>
  <si>
    <t>low</t>
  </si>
  <si>
    <t>base</t>
  </si>
  <si>
    <t>high</t>
  </si>
  <si>
    <t>Fedex package volume across sectors</t>
  </si>
  <si>
    <t>Service sector</t>
  </si>
  <si>
    <t>Revenue(in USD bn)</t>
  </si>
  <si>
    <t>% of Revenue</t>
  </si>
  <si>
    <t>Operating Income</t>
  </si>
  <si>
    <t>FedEx Express</t>
  </si>
  <si>
    <t>Fedex Ground</t>
  </si>
  <si>
    <t>FedEx Freight</t>
  </si>
  <si>
    <t>FedEx Services &amp; Other</t>
  </si>
  <si>
    <t>-</t>
  </si>
  <si>
    <t>Profit Margin</t>
  </si>
  <si>
    <t>Package Volume</t>
  </si>
  <si>
    <t xml:space="preserve">Revenue per Package </t>
  </si>
  <si>
    <t>feasibiliy to implement gig?</t>
  </si>
  <si>
    <t>savings and profit margin comparison with 3 scenarios</t>
  </si>
  <si>
    <t>Low</t>
  </si>
  <si>
    <t>Base</t>
  </si>
  <si>
    <t>High</t>
  </si>
  <si>
    <t>Y</t>
  </si>
  <si>
    <t>Time sensitive</t>
  </si>
  <si>
    <t>revenue per package for Express + Ground</t>
  </si>
  <si>
    <t>profit margin of Express + Ground</t>
  </si>
  <si>
    <t>N</t>
  </si>
  <si>
    <t>ToB, commercial freight, handed to warehouse, no last-mile delivery involved</t>
  </si>
  <si>
    <t>profit per package for existing delivery model</t>
  </si>
  <si>
    <t>FedEx office could be potential local microhubs, similar to UPS access point</t>
  </si>
  <si>
    <t xml:space="preserve">profit margin of gig </t>
  </si>
  <si>
    <t>profit per package for gig</t>
  </si>
  <si>
    <t>Net profit/loss per package</t>
  </si>
  <si>
    <t>Note: ROI Analysis based on Roadie's business model, including 5 year profitability analysis after launch with key metrics ROI, NPV, and payback period. Appendix 1 showed calculation method of active driver number and package volume number. Appendix 2. shows sensitivity analysis of two most critical viriables - savings per package and active driver number on year 5 to test robustness.</t>
  </si>
  <si>
    <t>All values in USD mn</t>
  </si>
  <si>
    <t xml:space="preserve">Discount Rate r </t>
  </si>
  <si>
    <t>In-house capability (UPS Roadie Model)</t>
  </si>
  <si>
    <t>Year</t>
  </si>
  <si>
    <t>Initial Cost</t>
  </si>
  <si>
    <t>yr 0</t>
  </si>
  <si>
    <t xml:space="preserve"> platform development</t>
  </si>
  <si>
    <t xml:space="preserve"> cloud infrastructure &amp; data pipelines</t>
  </si>
  <si>
    <t xml:space="preserve"> hiring (tech + ops team 15person)</t>
  </si>
  <si>
    <t xml:space="preserve"> marketing &amp; driver acquisition</t>
  </si>
  <si>
    <t xml:space="preserve"> operations setup </t>
  </si>
  <si>
    <t xml:space="preserve"> compliance, legal &amp; insurance</t>
  </si>
  <si>
    <t>total initial investment</t>
  </si>
  <si>
    <t>Cost after launch</t>
  </si>
  <si>
    <t xml:space="preserve"> cost of revenue</t>
  </si>
  <si>
    <t xml:space="preserve"> sales and marketing</t>
  </si>
  <si>
    <t xml:space="preserve"> operating cost</t>
  </si>
  <si>
    <t xml:space="preserve"> General administrative</t>
  </si>
  <si>
    <t xml:space="preserve"> research and develppemnt</t>
  </si>
  <si>
    <t>total cost</t>
  </si>
  <si>
    <t>(Base)</t>
  </si>
  <si>
    <t>savings per package</t>
  </si>
  <si>
    <t>active driver number</t>
  </si>
  <si>
    <t>package volume</t>
  </si>
  <si>
    <t>savings</t>
  </si>
  <si>
    <t>total benefits</t>
  </si>
  <si>
    <t>total returns</t>
  </si>
  <si>
    <t>NPV</t>
  </si>
  <si>
    <t>Payback period</t>
  </si>
  <si>
    <t>1 yr</t>
  </si>
  <si>
    <t>ROI</t>
  </si>
  <si>
    <t xml:space="preserve">(Low) </t>
  </si>
  <si>
    <t>NA</t>
  </si>
  <si>
    <t>(High)</t>
  </si>
  <si>
    <t>1yr</t>
  </si>
  <si>
    <t xml:space="preserve">Appendix1. Driver growth and package volume </t>
  </si>
  <si>
    <t>avg package per driver per day - Full time</t>
  </si>
  <si>
    <t>weight</t>
  </si>
  <si>
    <t>avg package per driver per day - Part time</t>
  </si>
  <si>
    <t>compound avg package per driver per day</t>
  </si>
  <si>
    <t>active driver (Scenario 1)</t>
  </si>
  <si>
    <t>driver growth %</t>
  </si>
  <si>
    <t>active driver (Scenario 2)</t>
  </si>
  <si>
    <t>active driver (Scenario 3)</t>
  </si>
  <si>
    <t>Appendix2. Sensitivity Analysis(NPV)</t>
  </si>
  <si>
    <t>5 yr active driver number (in thousands)</t>
  </si>
  <si>
    <t>savings per package($/package)</t>
  </si>
  <si>
    <t>Note: ROI Analysis based on Amazon flex business model, including 5 year ROI analysis after launch with key metrics ROI, NPV, and payback period. Appendix 1 showed calculation method of active driver number and package volume number. Appendix 2. shows sensitivity analysis of three most critical viriables.</t>
  </si>
  <si>
    <t>Gig delivery (Amazon flex model) project Return of investment model (measured by million)</t>
  </si>
  <si>
    <t>Discount rate</t>
  </si>
  <si>
    <t>Fedex last mile delivery cost</t>
  </si>
  <si>
    <t>Annual packages delivered by FedEx</t>
  </si>
  <si>
    <t>Fedex Cost per package(dollar)</t>
  </si>
  <si>
    <t>Initial Gig adoption</t>
  </si>
  <si>
    <t>Gig cost per package(dollar)</t>
  </si>
  <si>
    <t>Annual Gig adoption increase</t>
  </si>
  <si>
    <t>gig delivery hourly rate(pacakges)</t>
  </si>
  <si>
    <t>In-house build project</t>
  </si>
  <si>
    <t>Platform development</t>
  </si>
  <si>
    <t>cloud infrustruture&amp;data pinpline</t>
  </si>
  <si>
    <t>operation setup</t>
  </si>
  <si>
    <t>Hiring ( tech&amp;ops team)</t>
  </si>
  <si>
    <t>Driver acqusition</t>
  </si>
  <si>
    <t>compliance, legal &amp; insurance</t>
  </si>
  <si>
    <t>opportunity cost</t>
  </si>
  <si>
    <t>cost of revenue</t>
  </si>
  <si>
    <t>Sales &amp; marketing</t>
  </si>
  <si>
    <t>operation cost</t>
  </si>
  <si>
    <t>General administrative</t>
  </si>
  <si>
    <t>research and development</t>
  </si>
  <si>
    <t>Total cost</t>
  </si>
  <si>
    <t>Benefits(savings)</t>
  </si>
  <si>
    <t>Total benefits</t>
  </si>
  <si>
    <t>Pay back period</t>
  </si>
  <si>
    <t>0years</t>
  </si>
  <si>
    <t>Total Return</t>
  </si>
  <si>
    <t>Cumulative return</t>
  </si>
  <si>
    <t>npv</t>
  </si>
  <si>
    <t>Acquisition project</t>
  </si>
  <si>
    <t>acquisition price</t>
  </si>
  <si>
    <t>Total acquisition expense</t>
  </si>
  <si>
    <t>Appendix1. Driver growth and package volume</t>
  </si>
  <si>
    <t>Scenario assumption</t>
  </si>
  <si>
    <t>active driver (scenario 1)</t>
  </si>
  <si>
    <t>Sensitive analysis (scenario 1 &amp; build)</t>
  </si>
  <si>
    <t>change</t>
  </si>
  <si>
    <t>effect ROI</t>
  </si>
  <si>
    <t>effect payback</t>
  </si>
  <si>
    <t>effect npv</t>
  </si>
  <si>
    <t>gig delivery cost</t>
  </si>
  <si>
    <t>+1%</t>
  </si>
  <si>
    <t>-5.49%</t>
  </si>
  <si>
    <t>driver‘s number at year 5</t>
  </si>
  <si>
    <t>+1%(2.5k)</t>
  </si>
  <si>
    <t>compund avg delivery per driver per day</t>
  </si>
  <si>
    <t>Sensitive analysis (scenario 1 &amp;acquization)</t>
  </si>
  <si>
    <t>-6.99%</t>
  </si>
  <si>
    <t>-170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</si>
</sst>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
    <numFmt numFmtId="166" formatCode="0.00_);[Red]\(0.00\)"/>
    <numFmt numFmtId="167" formatCode="0_);[Red]\(0\)"/>
    <numFmt numFmtId="168" formatCode="&quot;$&quot;#,##0.00"/>
  </numFmts>
  <fonts count="18">
    <font>
      <sz val="12.0"/>
      <color theme="1"/>
      <name val="Aptos Narrow"/>
      <scheme val="minor"/>
    </font>
    <font>
      <sz val="12.0"/>
      <color theme="1"/>
      <name val="Aptos Narrow"/>
    </font>
    <font/>
    <font>
      <b/>
      <sz val="12.0"/>
      <color theme="1"/>
      <name val="Aptos Narrow"/>
    </font>
    <font>
      <color theme="1"/>
      <name val="Aptos Narrow"/>
      <scheme val="minor"/>
    </font>
    <font>
      <i/>
      <sz val="12.0"/>
      <color theme="1"/>
      <name val="Aptos Narrow"/>
    </font>
    <font>
      <sz val="12.0"/>
      <color rgb="FFFF0000"/>
      <name val="Aptos Narrow"/>
    </font>
    <font>
      <sz val="11.0"/>
      <color rgb="FF000000"/>
      <name val="Calibri"/>
    </font>
    <font>
      <b/>
      <sz val="11.0"/>
      <color rgb="FF000000"/>
      <name val="Calibri"/>
    </font>
    <font>
      <sz val="11.0"/>
      <color theme="1"/>
      <name val="Calibri"/>
    </font>
    <font>
      <sz val="12.0"/>
      <color rgb="FF000000"/>
      <name val="Arial"/>
    </font>
    <font>
      <sz val="11.0"/>
      <color theme="1"/>
      <name val="Aptos Narrow"/>
    </font>
    <font>
      <i/>
      <sz val="12.0"/>
      <color rgb="FF000000"/>
      <name val="Arial"/>
    </font>
    <font>
      <sz val="12.0"/>
      <color rgb="FF000000"/>
      <name val="&quot;Aptos Narrow&quot;"/>
    </font>
    <font>
      <b/>
      <sz val="11.0"/>
      <color theme="1"/>
      <name val="等线"/>
    </font>
    <font>
      <sz val="11.0"/>
      <color theme="1"/>
      <name val="等线"/>
    </font>
    <font>
      <b/>
      <sz val="11.0"/>
      <color theme="1"/>
      <name val="Aptos Narrow"/>
    </font>
    <font>
      <sz val="11.0"/>
      <color rgb="FF000000"/>
      <name val="&quot;Aptos Narrow&quot;"/>
    </font>
  </fonts>
  <fills count="4">
    <fill>
      <patternFill patternType="none"/>
    </fill>
    <fill>
      <patternFill patternType="lightGray"/>
    </fill>
    <fill>
      <patternFill patternType="solid">
        <fgColor rgb="FFE8E8E8"/>
        <bgColor rgb="FFE8E8E8"/>
      </patternFill>
    </fill>
    <fill>
      <patternFill patternType="solid">
        <fgColor rgb="FFDBE9F7"/>
        <bgColor rgb="FFDBE9F7"/>
      </patternFill>
    </fill>
  </fills>
  <borders count="17">
    <border/>
    <border>
      <left/>
      <top/>
      <bottom/>
    </border>
    <border>
      <top/>
      <bottom/>
    </border>
    <border>
      <right/>
      <top/>
      <bottom/>
    </border>
    <border>
      <left/>
      <right/>
      <top/>
      <bottom/>
    </border>
    <border>
      <top style="thin">
        <color rgb="FF000000"/>
      </top>
      <bottom style="thin">
        <color rgb="FF000000"/>
      </bottom>
    </border>
    <border>
      <bottom style="thin">
        <color rgb="FF000000"/>
      </bottom>
    </border>
    <border>
      <left/>
      <right/>
      <top style="thin">
        <color rgb="FF000000"/>
      </top>
      <bottom/>
    </border>
    <border>
      <top style="thin">
        <color rgb="FF000000"/>
      </top>
    </border>
    <border>
      <left/>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3" fillId="0" fontId="2" numFmtId="0" xfId="0" applyBorder="1" applyFont="1"/>
    <xf borderId="0" fillId="0" fontId="1" numFmtId="0" xfId="0" applyAlignment="1" applyFont="1">
      <alignment horizontal="left" shrinkToFit="0" vertical="top" wrapText="1"/>
    </xf>
    <xf borderId="4" fillId="3" fontId="3" numFmtId="0" xfId="0" applyBorder="1" applyFill="1" applyFont="1"/>
    <xf borderId="0" fillId="0" fontId="4" numFmtId="0" xfId="0" applyFont="1"/>
    <xf borderId="0" fillId="0" fontId="1" numFmtId="0" xfId="0" applyAlignment="1" applyFont="1">
      <alignment vertical="top"/>
    </xf>
    <xf borderId="0" fillId="0" fontId="1" numFmtId="0" xfId="0" applyAlignment="1" applyFont="1">
      <alignment shrinkToFit="0" vertical="top" wrapText="1"/>
    </xf>
    <xf borderId="0" fillId="0" fontId="5" numFmtId="0" xfId="0" applyFont="1"/>
    <xf borderId="1" fillId="3" fontId="1" numFmtId="0" xfId="0" applyAlignment="1" applyBorder="1" applyFont="1">
      <alignment horizontal="center"/>
    </xf>
    <xf borderId="4" fillId="2" fontId="1" numFmtId="0" xfId="0" applyBorder="1" applyFont="1"/>
    <xf borderId="0" fillId="0" fontId="1" numFmtId="164" xfId="0" applyFont="1" applyNumberFormat="1"/>
    <xf borderId="4" fillId="2" fontId="1" numFmtId="0" xfId="0" applyAlignment="1" applyBorder="1" applyFont="1">
      <alignment horizontal="left"/>
    </xf>
    <xf borderId="4" fillId="2" fontId="1" numFmtId="0" xfId="0" applyAlignment="1" applyBorder="1" applyFont="1">
      <alignment horizontal="center"/>
    </xf>
    <xf borderId="0" fillId="0" fontId="1" numFmtId="164" xfId="0" applyAlignment="1" applyFont="1" applyNumberFormat="1">
      <alignment horizontal="right"/>
    </xf>
    <xf borderId="0" fillId="0" fontId="1" numFmtId="1" xfId="0" applyFont="1" applyNumberFormat="1"/>
    <xf borderId="0" fillId="0" fontId="1" numFmtId="0" xfId="0" applyAlignment="1" applyFont="1">
      <alignment horizontal="center"/>
    </xf>
    <xf borderId="4" fillId="3" fontId="3" numFmtId="0" xfId="0" applyAlignment="1" applyBorder="1" applyFont="1">
      <alignment vertical="top"/>
    </xf>
    <xf borderId="0" fillId="0" fontId="3" numFmtId="0" xfId="0" applyAlignment="1" applyFont="1">
      <alignment vertical="top"/>
    </xf>
    <xf borderId="0" fillId="0" fontId="3" numFmtId="0" xfId="0" applyAlignment="1" applyFont="1">
      <alignment shrinkToFit="0" vertical="top" wrapText="1"/>
    </xf>
    <xf borderId="0" fillId="0" fontId="1" numFmtId="9" xfId="0" applyFont="1" applyNumberFormat="1"/>
    <xf borderId="0" fillId="0" fontId="1" numFmtId="2" xfId="0" applyFont="1" applyNumberFormat="1"/>
    <xf borderId="0" fillId="0" fontId="1" numFmtId="2" xfId="0" applyAlignment="1" applyFont="1" applyNumberFormat="1">
      <alignment horizontal="right"/>
    </xf>
    <xf borderId="0" fillId="0" fontId="1" numFmtId="165" xfId="0" applyFont="1" applyNumberFormat="1"/>
    <xf borderId="0" fillId="0" fontId="1" numFmtId="0" xfId="0" applyAlignment="1" applyFont="1">
      <alignment horizontal="right"/>
    </xf>
    <xf borderId="0" fillId="0" fontId="1" numFmtId="0" xfId="0" applyFont="1"/>
    <xf borderId="0" fillId="0" fontId="1" numFmtId="165" xfId="0" applyAlignment="1" applyFont="1" applyNumberFormat="1">
      <alignment horizontal="right"/>
    </xf>
    <xf borderId="5" fillId="0" fontId="3" numFmtId="0" xfId="0" applyAlignment="1" applyBorder="1" applyFont="1">
      <alignment vertical="top"/>
    </xf>
    <xf borderId="0" fillId="0" fontId="6" numFmtId="0" xfId="0" applyFont="1"/>
    <xf borderId="1" fillId="2" fontId="1" numFmtId="0" xfId="0" applyAlignment="1" applyBorder="1" applyFont="1">
      <alignment horizontal="left" shrinkToFit="0" wrapText="1"/>
    </xf>
    <xf borderId="6" fillId="0" fontId="3" numFmtId="0" xfId="0" applyAlignment="1" applyBorder="1" applyFont="1">
      <alignment shrinkToFit="0" wrapText="1"/>
    </xf>
    <xf borderId="6" fillId="0" fontId="1" numFmtId="0" xfId="0" applyAlignment="1" applyBorder="1" applyFont="1">
      <alignment horizontal="center"/>
    </xf>
    <xf borderId="6" fillId="0" fontId="2" numFmtId="0" xfId="0" applyBorder="1" applyFont="1"/>
    <xf borderId="6" fillId="0" fontId="1" numFmtId="0" xfId="0" applyBorder="1" applyFont="1"/>
    <xf borderId="0" fillId="0" fontId="7" numFmtId="0" xfId="0" applyFont="1"/>
    <xf borderId="0" fillId="0" fontId="1" numFmtId="166" xfId="0" applyFont="1" applyNumberFormat="1"/>
    <xf borderId="6" fillId="0" fontId="7" numFmtId="0" xfId="0" applyBorder="1" applyFont="1"/>
    <xf borderId="5" fillId="0" fontId="8" numFmtId="0" xfId="0" applyBorder="1" applyFont="1"/>
    <xf borderId="0" fillId="0" fontId="9" numFmtId="9" xfId="0" applyFont="1" applyNumberFormat="1"/>
    <xf borderId="6" fillId="0" fontId="8" numFmtId="0" xfId="0" applyBorder="1" applyFont="1"/>
    <xf borderId="6" fillId="0" fontId="1" numFmtId="166" xfId="0" applyBorder="1" applyFont="1" applyNumberFormat="1"/>
    <xf borderId="0" fillId="0" fontId="8" numFmtId="0" xfId="0" applyFont="1"/>
    <xf borderId="7" fillId="3" fontId="3" numFmtId="0" xfId="0" applyBorder="1" applyFont="1"/>
    <xf borderId="7" fillId="3" fontId="1" numFmtId="0" xfId="0" applyBorder="1" applyFont="1"/>
    <xf borderId="0" fillId="0" fontId="9" numFmtId="0" xfId="0" applyFont="1"/>
    <xf borderId="0" fillId="0" fontId="1" numFmtId="167" xfId="0" applyFont="1" applyNumberFormat="1"/>
    <xf borderId="0" fillId="0" fontId="1" numFmtId="166" xfId="0" applyAlignment="1" applyFont="1" applyNumberFormat="1">
      <alignment horizontal="right"/>
    </xf>
    <xf borderId="6" fillId="0" fontId="1" numFmtId="9" xfId="0" applyBorder="1" applyFont="1" applyNumberFormat="1"/>
    <xf borderId="7" fillId="2" fontId="1" numFmtId="0" xfId="0" applyBorder="1" applyFont="1"/>
    <xf borderId="8" fillId="0" fontId="1" numFmtId="0" xfId="0" applyBorder="1" applyFont="1"/>
    <xf borderId="4" fillId="3" fontId="9" numFmtId="0" xfId="0" applyBorder="1" applyFont="1"/>
    <xf borderId="9" fillId="2" fontId="9" numFmtId="0" xfId="0" applyBorder="1" applyFont="1"/>
    <xf borderId="5" fillId="0" fontId="1" numFmtId="0" xfId="0" applyBorder="1" applyFont="1"/>
    <xf borderId="8" fillId="0" fontId="9" numFmtId="0" xfId="0" applyBorder="1" applyFont="1"/>
    <xf borderId="5" fillId="0" fontId="9" numFmtId="0" xfId="0" applyBorder="1" applyFont="1"/>
    <xf borderId="5" fillId="0" fontId="1" numFmtId="0" xfId="0" applyAlignment="1" applyBorder="1" applyFont="1">
      <alignment horizontal="center"/>
    </xf>
    <xf borderId="5" fillId="0" fontId="2" numFmtId="0" xfId="0" applyBorder="1" applyFont="1"/>
    <xf borderId="10" fillId="0" fontId="1" numFmtId="0" xfId="0" applyAlignment="1" applyBorder="1" applyFont="1">
      <alignment horizontal="center" vertical="center"/>
    </xf>
    <xf borderId="0" fillId="0" fontId="9" numFmtId="166" xfId="0" applyFont="1" applyNumberFormat="1"/>
    <xf borderId="5" fillId="0" fontId="1" numFmtId="167" xfId="0" applyBorder="1" applyFont="1" applyNumberFormat="1"/>
    <xf borderId="10" fillId="0" fontId="2" numFmtId="0" xfId="0" applyBorder="1" applyFont="1"/>
    <xf borderId="11" fillId="0" fontId="9" numFmtId="0" xfId="0" applyBorder="1" applyFont="1"/>
    <xf borderId="11" fillId="0" fontId="1" numFmtId="0" xfId="0" applyBorder="1" applyFont="1"/>
    <xf borderId="1" fillId="2" fontId="10" numFmtId="0" xfId="0" applyAlignment="1" applyBorder="1" applyFont="1">
      <alignment horizontal="left" shrinkToFit="0" vertical="top" wrapText="1"/>
    </xf>
    <xf borderId="0" fillId="0" fontId="11" numFmtId="0" xfId="0" applyFont="1"/>
    <xf borderId="0" fillId="0" fontId="12" numFmtId="0" xfId="0" applyFont="1"/>
    <xf borderId="0" fillId="0" fontId="13" numFmtId="0" xfId="0" applyFont="1"/>
    <xf borderId="0" fillId="0" fontId="14" numFmtId="0" xfId="0" applyAlignment="1" applyFont="1">
      <alignment horizontal="center"/>
    </xf>
    <xf borderId="12" fillId="0" fontId="14" numFmtId="0" xfId="0" applyAlignment="1" applyBorder="1" applyFont="1">
      <alignment horizontal="center"/>
    </xf>
    <xf borderId="13" fillId="0" fontId="2" numFmtId="0" xfId="0" applyBorder="1" applyFont="1"/>
    <xf borderId="14" fillId="0" fontId="15" numFmtId="0" xfId="0" applyBorder="1" applyFont="1"/>
    <xf borderId="14" fillId="0" fontId="15" numFmtId="9" xfId="0" applyBorder="1" applyFont="1" applyNumberFormat="1"/>
    <xf borderId="12" fillId="0" fontId="7" numFmtId="0" xfId="0" applyAlignment="1" applyBorder="1" applyFont="1">
      <alignment horizontal="center"/>
    </xf>
    <xf borderId="14" fillId="0" fontId="7" numFmtId="0" xfId="0" applyAlignment="1" applyBorder="1" applyFont="1">
      <alignment horizontal="right"/>
    </xf>
    <xf borderId="0" fillId="0" fontId="11" numFmtId="10" xfId="0" applyFont="1" applyNumberFormat="1"/>
    <xf borderId="14" fillId="0" fontId="11" numFmtId="0" xfId="0" applyBorder="1" applyFont="1"/>
    <xf borderId="14" fillId="0" fontId="15" numFmtId="0" xfId="0" applyAlignment="1" applyBorder="1" applyFont="1">
      <alignment horizontal="right"/>
    </xf>
    <xf borderId="14" fillId="0" fontId="14" numFmtId="0" xfId="0" applyAlignment="1" applyBorder="1" applyFont="1">
      <alignment horizontal="center"/>
    </xf>
    <xf borderId="14" fillId="0" fontId="8" numFmtId="0" xfId="0" applyBorder="1" applyFont="1"/>
    <xf borderId="14" fillId="0" fontId="8" numFmtId="167" xfId="0" applyAlignment="1" applyBorder="1" applyFont="1" applyNumberFormat="1">
      <alignment horizontal="center"/>
    </xf>
    <xf borderId="14" fillId="0" fontId="8" numFmtId="0" xfId="0" applyAlignment="1" applyBorder="1" applyFont="1">
      <alignment horizontal="center"/>
    </xf>
    <xf borderId="10" fillId="0" fontId="7" numFmtId="0" xfId="0" applyBorder="1" applyFont="1"/>
    <xf borderId="0" fillId="0" fontId="7" numFmtId="0" xfId="0" applyAlignment="1" applyFont="1">
      <alignment horizontal="right"/>
    </xf>
    <xf borderId="15" fillId="0" fontId="7" numFmtId="0" xfId="0" applyBorder="1" applyFont="1"/>
    <xf borderId="0" fillId="0" fontId="7" numFmtId="2" xfId="0" applyAlignment="1" applyFont="1" applyNumberFormat="1">
      <alignment horizontal="right"/>
    </xf>
    <xf borderId="15" fillId="0" fontId="8" numFmtId="0" xfId="0" applyBorder="1" applyFont="1"/>
    <xf borderId="10" fillId="0" fontId="7" numFmtId="0" xfId="0" applyAlignment="1" applyBorder="1" applyFont="1">
      <alignment horizontal="right"/>
    </xf>
    <xf borderId="10" fillId="0" fontId="7" numFmtId="2" xfId="0" applyAlignment="1" applyBorder="1" applyFont="1" applyNumberFormat="1">
      <alignment horizontal="right"/>
    </xf>
    <xf borderId="0" fillId="0" fontId="7" numFmtId="9" xfId="0" applyFont="1" applyNumberFormat="1"/>
    <xf borderId="13" fillId="0" fontId="8" numFmtId="0" xfId="0" applyBorder="1" applyFont="1"/>
    <xf borderId="5" fillId="0" fontId="7" numFmtId="2" xfId="0" applyAlignment="1" applyBorder="1" applyFont="1" applyNumberFormat="1">
      <alignment horizontal="right"/>
    </xf>
    <xf borderId="13" fillId="0" fontId="7" numFmtId="2" xfId="0" applyAlignment="1" applyBorder="1" applyFont="1" applyNumberFormat="1">
      <alignment horizontal="right"/>
    </xf>
    <xf borderId="0" fillId="0" fontId="7" numFmtId="10" xfId="0" applyAlignment="1" applyFont="1" applyNumberFormat="1">
      <alignment horizontal="right"/>
    </xf>
    <xf borderId="6" fillId="0" fontId="7" numFmtId="2" xfId="0" applyAlignment="1" applyBorder="1" applyFont="1" applyNumberFormat="1">
      <alignment horizontal="right"/>
    </xf>
    <xf borderId="15" fillId="0" fontId="7" numFmtId="2" xfId="0" applyAlignment="1" applyBorder="1" applyFont="1" applyNumberFormat="1">
      <alignment horizontal="right"/>
    </xf>
    <xf borderId="0" fillId="0" fontId="7" numFmtId="168" xfId="0" applyFont="1" applyNumberFormat="1"/>
    <xf borderId="0" fillId="0" fontId="8" numFmtId="0" xfId="0" applyAlignment="1" applyFont="1">
      <alignment horizontal="center"/>
    </xf>
    <xf borderId="16" fillId="0" fontId="8" numFmtId="0" xfId="0" applyBorder="1" applyFont="1"/>
    <xf borderId="5" fillId="0" fontId="7" numFmtId="0" xfId="0" applyAlignment="1" applyBorder="1" applyFont="1">
      <alignment horizontal="right"/>
    </xf>
    <xf borderId="6" fillId="0" fontId="7" numFmtId="0" xfId="0" applyAlignment="1" applyBorder="1" applyFont="1">
      <alignment horizontal="right"/>
    </xf>
    <xf borderId="0" fillId="0" fontId="11" numFmtId="9" xfId="0" applyFont="1" applyNumberFormat="1"/>
    <xf borderId="7" fillId="2" fontId="13" numFmtId="0" xfId="0" applyBorder="1" applyFont="1"/>
    <xf borderId="8" fillId="0" fontId="11" numFmtId="0" xfId="0" applyBorder="1" applyFont="1"/>
    <xf borderId="8" fillId="0" fontId="11" numFmtId="9" xfId="0" applyBorder="1" applyFont="1" applyNumberFormat="1"/>
    <xf borderId="0" fillId="0" fontId="16" numFmtId="0" xfId="0" applyFont="1"/>
    <xf borderId="0" fillId="0" fontId="13" numFmtId="0" xfId="0" applyAlignment="1" applyFont="1">
      <alignment horizontal="right"/>
    </xf>
    <xf borderId="0" fillId="0" fontId="17" numFmtId="0" xfId="0" applyFont="1"/>
    <xf borderId="0" fillId="0" fontId="17" numFmtId="9" xfId="0" applyAlignment="1" applyFont="1" applyNumberFormat="1">
      <alignment horizontal="right"/>
    </xf>
    <xf borderId="0" fillId="0" fontId="17" numFmtId="0" xfId="0" applyAlignment="1" applyFont="1">
      <alignment horizontal="right"/>
    </xf>
    <xf borderId="9" fillId="2" fontId="7" numFmtId="0" xfId="0" applyBorder="1" applyFont="1"/>
    <xf quotePrefix="1" borderId="0" fillId="0" fontId="11" numFmtId="0" xfId="0" applyFont="1"/>
    <xf borderId="0" fillId="0" fontId="11" numFmtId="10" xfId="0" applyAlignment="1" applyFont="1" applyNumberFormat="1">
      <alignment horizontal="left"/>
    </xf>
    <xf quotePrefix="1" borderId="0" fillId="0" fontId="11" numFmtId="0" xfId="0" applyAlignment="1" applyFont="1">
      <alignment horizontal="righ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11"/>
    <col customWidth="1" min="2" max="2" width="25.33"/>
    <col customWidth="1" min="3" max="3" width="26.11"/>
    <col customWidth="1" min="4" max="4" width="26.78"/>
    <col customWidth="1" min="5" max="26" width="10.56"/>
  </cols>
  <sheetData>
    <row r="1" ht="124.5" customHeight="1">
      <c r="A1" s="1" t="s">
        <v>0</v>
      </c>
      <c r="B1" s="2"/>
      <c r="C1" s="2"/>
      <c r="D1" s="3"/>
    </row>
    <row r="2" ht="15.75" customHeight="1">
      <c r="A2" s="4"/>
      <c r="B2" s="4"/>
      <c r="C2" s="4"/>
      <c r="D2" s="4"/>
    </row>
    <row r="3" ht="15.75" customHeight="1">
      <c r="A3" s="5" t="s">
        <v>1</v>
      </c>
      <c r="B3" s="6" t="s">
        <v>2</v>
      </c>
      <c r="C3" s="6" t="s">
        <v>3</v>
      </c>
      <c r="D3" s="6" t="s">
        <v>4</v>
      </c>
    </row>
    <row r="4" ht="147.75" customHeight="1">
      <c r="A4" s="7"/>
      <c r="B4" s="8" t="s">
        <v>5</v>
      </c>
      <c r="C4" s="8" t="s">
        <v>6</v>
      </c>
      <c r="D4" s="8" t="s">
        <v>7</v>
      </c>
    </row>
    <row r="5" ht="15.75" customHeight="1">
      <c r="A5" s="7" t="s">
        <v>8</v>
      </c>
      <c r="B5" s="8" t="s">
        <v>9</v>
      </c>
      <c r="C5" s="8" t="s">
        <v>10</v>
      </c>
      <c r="D5" s="8" t="s">
        <v>11</v>
      </c>
    </row>
    <row r="6" ht="15.75" customHeight="1">
      <c r="A6" s="7" t="s">
        <v>12</v>
      </c>
      <c r="B6" s="8" t="s">
        <v>13</v>
      </c>
      <c r="C6" s="8" t="s">
        <v>14</v>
      </c>
      <c r="D6" s="8" t="s">
        <v>15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0.56"/>
    <col customWidth="1" min="4" max="4" width="11.67"/>
    <col customWidth="1" min="5" max="26" width="10.56"/>
  </cols>
  <sheetData>
    <row r="1" ht="115.5" customHeight="1">
      <c r="A1" s="1" t="s">
        <v>16</v>
      </c>
      <c r="B1" s="2"/>
      <c r="C1" s="2"/>
      <c r="D1" s="3"/>
    </row>
    <row r="2" ht="15.75" customHeight="1">
      <c r="A2" s="9" t="s">
        <v>17</v>
      </c>
    </row>
    <row r="3" ht="15.75" customHeight="1">
      <c r="A3" s="10" t="s">
        <v>18</v>
      </c>
      <c r="B3" s="2"/>
      <c r="C3" s="2"/>
      <c r="D3" s="3"/>
    </row>
    <row r="4" ht="15.75" customHeight="1">
      <c r="A4" s="11" t="s">
        <v>19</v>
      </c>
      <c r="B4" s="11" t="s">
        <v>20</v>
      </c>
      <c r="C4" s="11" t="s">
        <v>21</v>
      </c>
      <c r="D4" s="11" t="s">
        <v>22</v>
      </c>
      <c r="E4" s="6" t="s">
        <v>23</v>
      </c>
    </row>
    <row r="5" ht="15.75" customHeight="1">
      <c r="A5" s="6" t="s">
        <v>24</v>
      </c>
      <c r="B5" s="6">
        <v>115046.0</v>
      </c>
      <c r="C5" s="6">
        <v>10722.0</v>
      </c>
      <c r="D5" s="12">
        <f t="shared" ref="D5:D8" si="1">B5/C5</f>
        <v>10.72990114</v>
      </c>
    </row>
    <row r="6" ht="15.75" customHeight="1">
      <c r="A6" s="6" t="s">
        <v>25</v>
      </c>
      <c r="B6" s="6">
        <v>221780.0</v>
      </c>
      <c r="C6" s="6">
        <v>43980.0</v>
      </c>
      <c r="D6" s="12">
        <f t="shared" si="1"/>
        <v>5.042746703</v>
      </c>
    </row>
    <row r="7" ht="15.75" customHeight="1">
      <c r="A7" s="6" t="s">
        <v>26</v>
      </c>
      <c r="B7" s="6">
        <v>9547.0</v>
      </c>
      <c r="C7" s="6">
        <v>3378.0</v>
      </c>
      <c r="D7" s="12">
        <f t="shared" si="1"/>
        <v>2.826228538</v>
      </c>
    </row>
    <row r="8" ht="15.75" customHeight="1">
      <c r="A8" s="6" t="s">
        <v>27</v>
      </c>
      <c r="B8" s="6">
        <v>1500.0</v>
      </c>
      <c r="C8" s="6">
        <v>315.7</v>
      </c>
      <c r="D8" s="12">
        <f t="shared" si="1"/>
        <v>4.751346215</v>
      </c>
    </row>
    <row r="9" ht="15.75" customHeight="1">
      <c r="A9" s="6" t="s">
        <v>28</v>
      </c>
      <c r="D9" s="12">
        <f>MEDIAN(D5:D8)</f>
        <v>4.897046459</v>
      </c>
    </row>
    <row r="10" ht="15.75" customHeight="1">
      <c r="D10" s="12"/>
    </row>
    <row r="11" ht="15.75" customHeight="1">
      <c r="A11" s="10" t="s">
        <v>29</v>
      </c>
      <c r="B11" s="2"/>
      <c r="C11" s="2"/>
      <c r="D11" s="3"/>
    </row>
    <row r="12" ht="15.75" customHeight="1">
      <c r="A12" s="13" t="s">
        <v>19</v>
      </c>
      <c r="B12" s="14" t="s">
        <v>21</v>
      </c>
      <c r="C12" s="14" t="s">
        <v>30</v>
      </c>
      <c r="D12" s="14" t="s">
        <v>31</v>
      </c>
    </row>
    <row r="13" ht="15.75" customHeight="1">
      <c r="A13" s="6" t="s">
        <v>32</v>
      </c>
      <c r="B13" s="6">
        <v>0.25</v>
      </c>
      <c r="C13" s="15">
        <f>D9</f>
        <v>4.897046459</v>
      </c>
      <c r="D13" s="15">
        <f t="shared" ref="D13:D15" si="2">B13*C13</f>
        <v>1.224261615</v>
      </c>
    </row>
    <row r="14" ht="15.75" customHeight="1">
      <c r="A14" s="6" t="s">
        <v>33</v>
      </c>
      <c r="B14" s="16">
        <v>100.0</v>
      </c>
      <c r="C14" s="15">
        <f>D9</f>
        <v>4.897046459</v>
      </c>
      <c r="D14" s="15">
        <f t="shared" si="2"/>
        <v>489.7046459</v>
      </c>
    </row>
    <row r="15" ht="15.75" customHeight="1">
      <c r="A15" s="6" t="s">
        <v>34</v>
      </c>
      <c r="B15" s="6">
        <v>31.5</v>
      </c>
      <c r="C15" s="15">
        <f>D9</f>
        <v>4.897046459</v>
      </c>
      <c r="D15" s="15">
        <f t="shared" si="2"/>
        <v>154.2569635</v>
      </c>
    </row>
    <row r="16" ht="15.75" customHeight="1">
      <c r="B16" s="17"/>
      <c r="C16" s="17"/>
      <c r="D16" s="17"/>
    </row>
    <row r="17" ht="15.75" customHeight="1"/>
    <row r="18" ht="15.75" customHeight="1">
      <c r="A18" s="10" t="s">
        <v>35</v>
      </c>
      <c r="B18" s="2"/>
      <c r="C18" s="2"/>
      <c r="D18" s="3"/>
    </row>
    <row r="19" ht="15.75" customHeight="1">
      <c r="A19" s="11" t="s">
        <v>19</v>
      </c>
      <c r="B19" s="11" t="s">
        <v>20</v>
      </c>
      <c r="C19" s="11" t="s">
        <v>21</v>
      </c>
      <c r="D19" s="11" t="s">
        <v>30</v>
      </c>
    </row>
    <row r="20" ht="15.75" customHeight="1">
      <c r="A20" s="6" t="s">
        <v>36</v>
      </c>
      <c r="B20" s="6">
        <v>550.0</v>
      </c>
      <c r="C20" s="6">
        <v>100.0</v>
      </c>
      <c r="D20" s="6">
        <f t="shared" ref="D20:D26" si="3">B20/C20</f>
        <v>5.5</v>
      </c>
    </row>
    <row r="21" ht="15.75" customHeight="1">
      <c r="A21" s="6" t="s">
        <v>37</v>
      </c>
      <c r="B21" s="6">
        <v>2650.0</v>
      </c>
      <c r="C21" s="6">
        <v>500.0</v>
      </c>
      <c r="D21" s="6">
        <f t="shared" si="3"/>
        <v>5.3</v>
      </c>
    </row>
    <row r="22" ht="15.75" customHeight="1">
      <c r="A22" s="6" t="s">
        <v>38</v>
      </c>
      <c r="B22" s="6">
        <v>350.0</v>
      </c>
      <c r="C22" s="6">
        <v>350.0</v>
      </c>
      <c r="D22" s="6">
        <f t="shared" si="3"/>
        <v>1</v>
      </c>
    </row>
    <row r="23" ht="15.75" customHeight="1">
      <c r="A23" s="6" t="s">
        <v>39</v>
      </c>
      <c r="B23" s="6">
        <v>1100.0</v>
      </c>
      <c r="C23" s="6">
        <v>100.0</v>
      </c>
      <c r="D23" s="6">
        <f t="shared" si="3"/>
        <v>11</v>
      </c>
    </row>
    <row r="24" ht="15.75" customHeight="1">
      <c r="A24" s="6" t="s">
        <v>40</v>
      </c>
      <c r="B24" s="6">
        <v>7300.0</v>
      </c>
      <c r="C24" s="6">
        <v>1800.0</v>
      </c>
      <c r="D24" s="16">
        <f t="shared" si="3"/>
        <v>4.055555556</v>
      </c>
    </row>
    <row r="25" ht="15.75" customHeight="1">
      <c r="A25" s="6" t="s">
        <v>41</v>
      </c>
      <c r="B25" s="6">
        <v>300.0</v>
      </c>
      <c r="C25" s="6">
        <v>15.0</v>
      </c>
      <c r="D25" s="6">
        <f t="shared" si="3"/>
        <v>20</v>
      </c>
    </row>
    <row r="26" ht="15.75" customHeight="1">
      <c r="A26" s="6" t="s">
        <v>42</v>
      </c>
      <c r="B26" s="6">
        <v>400.0</v>
      </c>
      <c r="C26" s="6">
        <v>90.0</v>
      </c>
      <c r="D26" s="16">
        <f t="shared" si="3"/>
        <v>4.444444444</v>
      </c>
    </row>
    <row r="27" ht="15.75" customHeight="1">
      <c r="A27" s="6" t="s">
        <v>28</v>
      </c>
      <c r="D27" s="6">
        <f>MEDIAN(D20:D26)</f>
        <v>5.3</v>
      </c>
    </row>
    <row r="28" ht="15.75" customHeight="1"/>
    <row r="29" ht="15.75" customHeight="1">
      <c r="A29" s="10" t="s">
        <v>43</v>
      </c>
      <c r="B29" s="2"/>
      <c r="C29" s="2"/>
      <c r="D29" s="3"/>
    </row>
    <row r="30" ht="15.75" customHeight="1">
      <c r="A30" s="13" t="s">
        <v>19</v>
      </c>
      <c r="B30" s="14" t="s">
        <v>21</v>
      </c>
      <c r="C30" s="14" t="s">
        <v>44</v>
      </c>
      <c r="D30" s="14" t="s">
        <v>31</v>
      </c>
    </row>
    <row r="31" ht="15.75" customHeight="1">
      <c r="A31" s="6" t="s">
        <v>32</v>
      </c>
      <c r="B31" s="6">
        <v>0.25</v>
      </c>
      <c r="C31" s="6">
        <f>D27</f>
        <v>5.3</v>
      </c>
      <c r="D31" s="12">
        <f t="shared" ref="D31:D33" si="4">B31*C31</f>
        <v>1.325</v>
      </c>
    </row>
    <row r="32" ht="15.75" customHeight="1">
      <c r="A32" s="6" t="s">
        <v>33</v>
      </c>
      <c r="B32" s="16">
        <v>100.0</v>
      </c>
      <c r="C32" s="6">
        <f>D27</f>
        <v>5.3</v>
      </c>
      <c r="D32" s="12">
        <f t="shared" si="4"/>
        <v>530</v>
      </c>
    </row>
    <row r="33" ht="15.75" customHeight="1">
      <c r="A33" s="6" t="s">
        <v>34</v>
      </c>
      <c r="B33" s="6">
        <v>31.5</v>
      </c>
      <c r="C33" s="6">
        <f>C32</f>
        <v>5.3</v>
      </c>
      <c r="D33" s="12">
        <f t="shared" si="4"/>
        <v>166.95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3:D3"/>
    <mergeCell ref="A11:D11"/>
    <mergeCell ref="A18:D18"/>
    <mergeCell ref="A29:D29"/>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8.0"/>
    <col customWidth="1" min="2" max="2" width="24.11"/>
    <col customWidth="1" min="3" max="3" width="22.11"/>
    <col customWidth="1" min="4" max="4" width="23.67"/>
    <col customWidth="1" min="5" max="5" width="16.0"/>
    <col customWidth="1" min="6" max="6" width="16.67"/>
    <col customWidth="1" min="7" max="7" width="22.67"/>
    <col customWidth="1" min="8" max="8" width="18.33"/>
    <col customWidth="1" min="9" max="26" width="10.56"/>
  </cols>
  <sheetData>
    <row r="1" ht="18.75" customHeight="1">
      <c r="A1" s="18" t="s">
        <v>45</v>
      </c>
    </row>
    <row r="2" ht="15.75" customHeight="1">
      <c r="A2" s="19" t="s">
        <v>46</v>
      </c>
      <c r="B2" s="20" t="s">
        <v>47</v>
      </c>
      <c r="C2" s="20" t="s">
        <v>48</v>
      </c>
      <c r="D2" s="20" t="s">
        <v>49</v>
      </c>
    </row>
    <row r="3" ht="15.75" customHeight="1">
      <c r="A3" s="7" t="s">
        <v>50</v>
      </c>
      <c r="B3" s="8" t="s">
        <v>51</v>
      </c>
      <c r="D3" s="8" t="s">
        <v>52</v>
      </c>
    </row>
    <row r="4" ht="15.75" customHeight="1">
      <c r="A4" s="7" t="s">
        <v>53</v>
      </c>
      <c r="B4" s="8" t="s">
        <v>54</v>
      </c>
      <c r="C4" s="7" t="s">
        <v>55</v>
      </c>
      <c r="D4" s="8" t="s">
        <v>56</v>
      </c>
    </row>
    <row r="5" ht="15.75" customHeight="1">
      <c r="A5" s="7" t="s">
        <v>57</v>
      </c>
      <c r="B5" s="8" t="s">
        <v>58</v>
      </c>
      <c r="C5" s="7" t="s">
        <v>59</v>
      </c>
    </row>
    <row r="6" ht="15.75" customHeight="1">
      <c r="A6" s="7" t="s">
        <v>60</v>
      </c>
      <c r="B6" s="8" t="s">
        <v>61</v>
      </c>
      <c r="C6" s="7" t="s">
        <v>62</v>
      </c>
    </row>
    <row r="7" ht="15.75" customHeight="1">
      <c r="A7" s="7" t="s">
        <v>63</v>
      </c>
      <c r="B7" s="8" t="s">
        <v>64</v>
      </c>
      <c r="C7" s="7" t="s">
        <v>65</v>
      </c>
    </row>
    <row r="8" ht="15.75" customHeight="1">
      <c r="A8" s="7" t="s">
        <v>66</v>
      </c>
      <c r="B8" s="8" t="s">
        <v>67</v>
      </c>
      <c r="D8" s="6" t="s">
        <v>52</v>
      </c>
    </row>
    <row r="9" ht="15.75" customHeight="1">
      <c r="A9" s="19" t="s">
        <v>68</v>
      </c>
      <c r="B9" s="20" t="s">
        <v>69</v>
      </c>
    </row>
    <row r="10" ht="15.75" customHeight="1"/>
    <row r="11" ht="15.75" customHeight="1">
      <c r="A11" s="7"/>
    </row>
    <row r="12" ht="15.75" customHeight="1">
      <c r="A12" s="18" t="s">
        <v>70</v>
      </c>
      <c r="B12" s="8" t="s">
        <v>71</v>
      </c>
    </row>
    <row r="13" ht="15.75" customHeight="1">
      <c r="A13" s="7" t="s">
        <v>72</v>
      </c>
      <c r="B13" s="21">
        <v>0.05</v>
      </c>
    </row>
    <row r="14" ht="15.75" customHeight="1">
      <c r="A14" s="7" t="s">
        <v>73</v>
      </c>
      <c r="B14" s="21">
        <v>0.1</v>
      </c>
    </row>
    <row r="15" ht="15.75" customHeight="1">
      <c r="A15" s="7" t="s">
        <v>74</v>
      </c>
      <c r="B15" s="21">
        <v>0.15</v>
      </c>
    </row>
    <row r="16" ht="15.75" customHeight="1"/>
    <row r="17" ht="15.75" customHeight="1">
      <c r="A17" s="18" t="s">
        <v>75</v>
      </c>
    </row>
    <row r="18" ht="15.75" customHeight="1">
      <c r="A18" s="7" t="s">
        <v>76</v>
      </c>
      <c r="B18" s="6" t="s">
        <v>77</v>
      </c>
      <c r="C18" s="6" t="s">
        <v>78</v>
      </c>
      <c r="D18" s="6" t="s">
        <v>79</v>
      </c>
    </row>
    <row r="19" ht="15.75" customHeight="1">
      <c r="A19" s="7" t="s">
        <v>80</v>
      </c>
      <c r="B19" s="12">
        <v>42.1</v>
      </c>
      <c r="C19" s="21">
        <f t="shared" ref="C19:C22" si="1">B19/B$23</f>
        <v>0.48004561</v>
      </c>
      <c r="D19" s="22">
        <v>2.13</v>
      </c>
    </row>
    <row r="20" ht="15.75" customHeight="1">
      <c r="A20" s="7" t="s">
        <v>81</v>
      </c>
      <c r="B20" s="12">
        <v>35.1</v>
      </c>
      <c r="C20" s="21">
        <f t="shared" si="1"/>
        <v>0.4002280502</v>
      </c>
      <c r="D20" s="22">
        <v>4.0</v>
      </c>
    </row>
    <row r="21" ht="15.75" customHeight="1">
      <c r="A21" s="7" t="s">
        <v>82</v>
      </c>
      <c r="B21" s="12">
        <v>8.9</v>
      </c>
      <c r="C21" s="21">
        <f t="shared" si="1"/>
        <v>0.1014823261</v>
      </c>
      <c r="D21" s="22">
        <v>1.6</v>
      </c>
    </row>
    <row r="22" ht="15.75" customHeight="1">
      <c r="A22" s="7" t="s">
        <v>83</v>
      </c>
      <c r="B22" s="12">
        <v>1.6</v>
      </c>
      <c r="C22" s="21">
        <f t="shared" si="1"/>
        <v>0.01824401368</v>
      </c>
      <c r="D22" s="23" t="s">
        <v>84</v>
      </c>
    </row>
    <row r="23" ht="15.75" customHeight="1">
      <c r="A23" s="7" t="s">
        <v>68</v>
      </c>
      <c r="B23" s="12">
        <f>SUM(B19:B22)</f>
        <v>87.7</v>
      </c>
      <c r="D23" s="22"/>
    </row>
    <row r="24" ht="15.75" customHeight="1">
      <c r="A24" s="7"/>
      <c r="B24" s="12"/>
      <c r="D24" s="22"/>
      <c r="E24" s="6" t="s">
        <v>85</v>
      </c>
      <c r="F24" s="24" t="s">
        <v>86</v>
      </c>
      <c r="G24" s="24" t="s">
        <v>87</v>
      </c>
      <c r="H24" s="6" t="s">
        <v>88</v>
      </c>
      <c r="I24" s="6" t="s">
        <v>23</v>
      </c>
    </row>
    <row r="25" ht="15.75" customHeight="1">
      <c r="A25" s="18" t="s">
        <v>89</v>
      </c>
      <c r="B25" s="6" t="s">
        <v>90</v>
      </c>
      <c r="C25" s="6" t="s">
        <v>91</v>
      </c>
      <c r="D25" s="6" t="s">
        <v>92</v>
      </c>
      <c r="E25" s="24">
        <f t="shared" ref="E25:E27" si="2">D19/B19</f>
        <v>0.05059382423</v>
      </c>
      <c r="F25" s="6">
        <v>2058.0</v>
      </c>
      <c r="G25" s="22">
        <f t="shared" ref="G25:G26" si="3">B19*1000/F25</f>
        <v>20.45675413</v>
      </c>
      <c r="H25" s="25" t="s">
        <v>93</v>
      </c>
      <c r="I25" s="6" t="s">
        <v>94</v>
      </c>
    </row>
    <row r="26" ht="15.75" customHeight="1">
      <c r="A26" s="7" t="s">
        <v>95</v>
      </c>
      <c r="B26" s="22">
        <f>($B$19+$B$20)*1000 / ($F$25+$F$26)</f>
        <v>15.66558442</v>
      </c>
      <c r="E26" s="24">
        <f t="shared" si="2"/>
        <v>0.113960114</v>
      </c>
      <c r="F26" s="26">
        <v>2870.0</v>
      </c>
      <c r="G26" s="22">
        <f t="shared" si="3"/>
        <v>12.22996516</v>
      </c>
      <c r="H26" s="25" t="s">
        <v>93</v>
      </c>
    </row>
    <row r="27" ht="15.75" customHeight="1">
      <c r="A27" s="6" t="s">
        <v>96</v>
      </c>
      <c r="B27" s="24">
        <f>($E$25*$B$19 + $E$26*$B$20)/($B$19+$B$20)</f>
        <v>0.07940414508</v>
      </c>
      <c r="E27" s="24">
        <f t="shared" si="2"/>
        <v>0.1797752809</v>
      </c>
      <c r="F27" s="26"/>
      <c r="G27" s="26"/>
      <c r="H27" s="25" t="s">
        <v>97</v>
      </c>
      <c r="I27" s="6" t="s">
        <v>98</v>
      </c>
    </row>
    <row r="28" ht="15.75" customHeight="1">
      <c r="A28" s="7" t="s">
        <v>99</v>
      </c>
      <c r="B28" s="22">
        <f>$B$26*$B$27</f>
        <v>1.243912338</v>
      </c>
      <c r="C28" s="6">
        <v>1.24</v>
      </c>
      <c r="D28" s="6">
        <v>1.24</v>
      </c>
      <c r="E28" s="27" t="s">
        <v>84</v>
      </c>
      <c r="F28" s="25"/>
      <c r="G28" s="25"/>
      <c r="H28" s="25" t="s">
        <v>97</v>
      </c>
      <c r="I28" s="6" t="s">
        <v>100</v>
      </c>
    </row>
    <row r="29" ht="15.75" customHeight="1">
      <c r="A29" s="7" t="s">
        <v>101</v>
      </c>
      <c r="B29" s="21">
        <f>B13</f>
        <v>0.05</v>
      </c>
      <c r="C29" s="21">
        <f>B14</f>
        <v>0.1</v>
      </c>
      <c r="D29" s="21">
        <f>B15</f>
        <v>0.15</v>
      </c>
      <c r="E29" s="24"/>
      <c r="F29" s="24"/>
      <c r="G29" s="24"/>
    </row>
    <row r="30" ht="15.75" customHeight="1">
      <c r="A30" s="7" t="s">
        <v>102</v>
      </c>
      <c r="B30" s="22">
        <f t="shared" ref="B30:D30" si="4">$B$26*B29</f>
        <v>0.7832792208</v>
      </c>
      <c r="C30" s="22">
        <f t="shared" si="4"/>
        <v>1.566558442</v>
      </c>
      <c r="D30" s="22">
        <f t="shared" si="4"/>
        <v>2.349837662</v>
      </c>
      <c r="E30" s="24"/>
      <c r="F30" s="24"/>
      <c r="G30" s="24"/>
    </row>
    <row r="31" ht="15.75" customHeight="1">
      <c r="A31" s="28" t="s">
        <v>103</v>
      </c>
      <c r="B31" s="22">
        <f t="shared" ref="B31:D31" si="5">B30-$B$28</f>
        <v>-0.4606331169</v>
      </c>
      <c r="C31" s="22">
        <f t="shared" si="5"/>
        <v>0.3226461039</v>
      </c>
      <c r="D31" s="22">
        <f t="shared" si="5"/>
        <v>1.105925325</v>
      </c>
    </row>
    <row r="32" ht="15.75" customHeight="1"/>
    <row r="33" ht="15.75" customHeight="1">
      <c r="E33" s="24"/>
      <c r="F33" s="24"/>
      <c r="G33" s="24"/>
    </row>
    <row r="34" ht="15.75" customHeight="1">
      <c r="E34" s="24"/>
      <c r="F34" s="24"/>
      <c r="G34" s="24"/>
    </row>
    <row r="35" ht="15.75" customHeight="1">
      <c r="E35" s="29"/>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11"/>
    <col customWidth="1" min="2" max="2" width="17.0"/>
    <col customWidth="1" min="3" max="3" width="13.33"/>
    <col customWidth="1" min="4" max="7" width="10.56"/>
    <col customWidth="1" min="8" max="8" width="13.67"/>
    <col customWidth="1" min="9" max="26" width="10.56"/>
  </cols>
  <sheetData>
    <row r="1" ht="63.0" customHeight="1">
      <c r="A1" s="30" t="s">
        <v>104</v>
      </c>
      <c r="B1" s="2"/>
      <c r="C1" s="2"/>
      <c r="D1" s="2"/>
      <c r="E1" s="2"/>
      <c r="F1" s="2"/>
      <c r="G1" s="3"/>
    </row>
    <row r="2" ht="15.75" customHeight="1">
      <c r="A2" s="9" t="s">
        <v>105</v>
      </c>
    </row>
    <row r="3" ht="15.75" customHeight="1">
      <c r="A3" s="6" t="s">
        <v>106</v>
      </c>
      <c r="B3" s="21">
        <v>0.08</v>
      </c>
    </row>
    <row r="4" ht="15.75" customHeight="1"/>
    <row r="5" ht="15.75" customHeight="1">
      <c r="A5" s="31" t="s">
        <v>107</v>
      </c>
      <c r="B5" s="32" t="s">
        <v>108</v>
      </c>
      <c r="C5" s="33"/>
      <c r="D5" s="33"/>
      <c r="E5" s="33"/>
      <c r="F5" s="33"/>
      <c r="G5" s="33"/>
    </row>
    <row r="6" ht="15.75" customHeight="1">
      <c r="A6" s="34" t="s">
        <v>109</v>
      </c>
      <c r="B6" s="34" t="s">
        <v>110</v>
      </c>
      <c r="C6" s="34">
        <v>1.0</v>
      </c>
      <c r="D6" s="34">
        <v>2.0</v>
      </c>
      <c r="E6" s="34">
        <v>3.0</v>
      </c>
      <c r="F6" s="34">
        <v>4.0</v>
      </c>
      <c r="G6" s="34">
        <v>5.0</v>
      </c>
    </row>
    <row r="7" ht="15.75" customHeight="1">
      <c r="A7" s="35" t="s">
        <v>111</v>
      </c>
      <c r="B7" s="36">
        <v>3.0</v>
      </c>
      <c r="C7" s="36"/>
      <c r="D7" s="36"/>
      <c r="E7" s="36"/>
      <c r="F7" s="36"/>
      <c r="G7" s="36"/>
      <c r="H7" s="36"/>
      <c r="I7" s="36"/>
      <c r="J7" s="36"/>
      <c r="K7" s="36"/>
      <c r="L7" s="36"/>
    </row>
    <row r="8" ht="15.75" customHeight="1">
      <c r="A8" s="35" t="s">
        <v>112</v>
      </c>
      <c r="B8" s="36">
        <v>15.0</v>
      </c>
      <c r="C8" s="36"/>
      <c r="D8" s="36"/>
      <c r="E8" s="36"/>
      <c r="F8" s="36"/>
      <c r="G8" s="36"/>
      <c r="H8" s="36"/>
      <c r="I8" s="36"/>
      <c r="J8" s="36"/>
      <c r="K8" s="36"/>
      <c r="L8" s="36"/>
    </row>
    <row r="9" ht="15.75" customHeight="1">
      <c r="A9" s="35" t="s">
        <v>113</v>
      </c>
      <c r="B9" s="36">
        <v>1.5</v>
      </c>
      <c r="C9" s="36"/>
      <c r="D9" s="36"/>
      <c r="E9" s="36"/>
      <c r="F9" s="36"/>
      <c r="G9" s="36"/>
      <c r="H9" s="36"/>
      <c r="I9" s="36"/>
      <c r="J9" s="36"/>
      <c r="K9" s="36"/>
      <c r="L9" s="36"/>
    </row>
    <row r="10" ht="15.75" customHeight="1">
      <c r="A10" s="35" t="s">
        <v>114</v>
      </c>
      <c r="B10" s="36">
        <v>1.5</v>
      </c>
      <c r="C10" s="36"/>
      <c r="D10" s="36"/>
      <c r="E10" s="36"/>
      <c r="F10" s="36"/>
      <c r="G10" s="36"/>
      <c r="H10" s="36"/>
      <c r="I10" s="36"/>
      <c r="J10" s="36"/>
      <c r="K10" s="36"/>
      <c r="L10" s="36"/>
    </row>
    <row r="11" ht="15.75" customHeight="1">
      <c r="A11" s="35" t="s">
        <v>115</v>
      </c>
      <c r="B11" s="36">
        <v>1.5</v>
      </c>
      <c r="C11" s="36"/>
      <c r="D11" s="36"/>
      <c r="E11" s="36"/>
      <c r="F11" s="36"/>
      <c r="G11" s="36"/>
      <c r="H11" s="36"/>
      <c r="I11" s="36"/>
      <c r="J11" s="36"/>
      <c r="K11" s="36"/>
      <c r="L11" s="36"/>
    </row>
    <row r="12" ht="15.75" customHeight="1">
      <c r="A12" s="37" t="s">
        <v>116</v>
      </c>
      <c r="B12" s="36">
        <v>0.5</v>
      </c>
      <c r="C12" s="36"/>
      <c r="D12" s="36"/>
      <c r="E12" s="36"/>
      <c r="F12" s="36"/>
      <c r="G12" s="36"/>
      <c r="H12" s="36"/>
      <c r="I12" s="36"/>
      <c r="J12" s="36"/>
      <c r="K12" s="36"/>
      <c r="L12" s="36"/>
    </row>
    <row r="13" ht="15.75" customHeight="1">
      <c r="A13" s="38" t="s">
        <v>117</v>
      </c>
      <c r="B13" s="36">
        <f>SUM(B7:B12)</f>
        <v>23</v>
      </c>
      <c r="C13" s="36">
        <v>0.0</v>
      </c>
      <c r="D13" s="36">
        <v>0.0</v>
      </c>
      <c r="E13" s="36">
        <v>0.0</v>
      </c>
      <c r="F13" s="36">
        <v>0.0</v>
      </c>
      <c r="G13" s="36">
        <v>0.0</v>
      </c>
    </row>
    <row r="14" ht="15.75" customHeight="1">
      <c r="A14" s="35" t="s">
        <v>118</v>
      </c>
      <c r="B14" s="36"/>
      <c r="C14" s="36"/>
      <c r="D14" s="36"/>
      <c r="E14" s="36"/>
      <c r="F14" s="36"/>
      <c r="G14" s="36"/>
    </row>
    <row r="15" ht="15.75" customHeight="1">
      <c r="A15" s="35" t="s">
        <v>119</v>
      </c>
      <c r="B15" s="36"/>
      <c r="C15" s="36">
        <v>24.0</v>
      </c>
      <c r="D15" s="36">
        <v>206.0</v>
      </c>
      <c r="E15" s="36">
        <v>300.0</v>
      </c>
      <c r="F15" s="36">
        <v>400.0</v>
      </c>
      <c r="G15" s="36">
        <v>450.0</v>
      </c>
      <c r="H15" s="39">
        <v>0.33</v>
      </c>
    </row>
    <row r="16" ht="15.75" customHeight="1">
      <c r="A16" s="35" t="s">
        <v>120</v>
      </c>
      <c r="B16" s="36">
        <v>8.0</v>
      </c>
      <c r="C16" s="36">
        <f t="shared" ref="C16:G16" si="1">$H$16/$H$15 *C15</f>
        <v>7.272727273</v>
      </c>
      <c r="D16" s="36">
        <f t="shared" si="1"/>
        <v>62.42424242</v>
      </c>
      <c r="E16" s="36">
        <f t="shared" si="1"/>
        <v>90.90909091</v>
      </c>
      <c r="F16" s="36">
        <f t="shared" si="1"/>
        <v>121.2121212</v>
      </c>
      <c r="G16" s="36">
        <f t="shared" si="1"/>
        <v>136.3636364</v>
      </c>
      <c r="H16" s="39">
        <v>0.1</v>
      </c>
    </row>
    <row r="17" ht="15.75" customHeight="1">
      <c r="A17" s="35" t="s">
        <v>121</v>
      </c>
      <c r="B17" s="36"/>
      <c r="C17" s="36">
        <f t="shared" ref="C17:G17" si="2">$H$17/$H$15 *C15</f>
        <v>4.363636364</v>
      </c>
      <c r="D17" s="36">
        <f t="shared" si="2"/>
        <v>37.45454545</v>
      </c>
      <c r="E17" s="36">
        <f t="shared" si="2"/>
        <v>54.54545455</v>
      </c>
      <c r="F17" s="36">
        <f t="shared" si="2"/>
        <v>72.72727273</v>
      </c>
      <c r="G17" s="36">
        <f t="shared" si="2"/>
        <v>81.81818182</v>
      </c>
      <c r="H17" s="39">
        <v>0.06</v>
      </c>
    </row>
    <row r="18" ht="15.75" customHeight="1">
      <c r="A18" s="35" t="s">
        <v>122</v>
      </c>
      <c r="B18" s="36"/>
      <c r="C18" s="36">
        <f t="shared" ref="C18:G18" si="3">$H$18/$H$15 * C15</f>
        <v>5.818181818</v>
      </c>
      <c r="D18" s="36">
        <f t="shared" si="3"/>
        <v>49.93939394</v>
      </c>
      <c r="E18" s="36">
        <f t="shared" si="3"/>
        <v>72.72727273</v>
      </c>
      <c r="F18" s="36">
        <f t="shared" si="3"/>
        <v>96.96969697</v>
      </c>
      <c r="G18" s="36">
        <f t="shared" si="3"/>
        <v>109.0909091</v>
      </c>
      <c r="H18" s="39">
        <v>0.08</v>
      </c>
    </row>
    <row r="19" ht="15.75" customHeight="1">
      <c r="A19" s="37" t="s">
        <v>123</v>
      </c>
      <c r="B19" s="36"/>
      <c r="C19" s="36">
        <f t="shared" ref="C19:G19" si="4">$H$19/$H$15 * C15</f>
        <v>5.090909091</v>
      </c>
      <c r="D19" s="36">
        <f t="shared" si="4"/>
        <v>43.6969697</v>
      </c>
      <c r="E19" s="36">
        <f t="shared" si="4"/>
        <v>63.63636364</v>
      </c>
      <c r="F19" s="36">
        <f t="shared" si="4"/>
        <v>84.84848485</v>
      </c>
      <c r="G19" s="36">
        <f t="shared" si="4"/>
        <v>95.45454545</v>
      </c>
      <c r="H19" s="39">
        <v>0.07</v>
      </c>
    </row>
    <row r="20" ht="15.75" customHeight="1">
      <c r="A20" s="40" t="s">
        <v>124</v>
      </c>
      <c r="B20" s="41">
        <f t="shared" ref="B20:G20" si="5">SUM(B13:B19)</f>
        <v>31</v>
      </c>
      <c r="C20" s="41">
        <f t="shared" si="5"/>
        <v>46.54545455</v>
      </c>
      <c r="D20" s="41">
        <f t="shared" si="5"/>
        <v>399.5151515</v>
      </c>
      <c r="E20" s="41">
        <f t="shared" si="5"/>
        <v>581.8181818</v>
      </c>
      <c r="F20" s="41">
        <f t="shared" si="5"/>
        <v>775.7575758</v>
      </c>
      <c r="G20" s="41">
        <f t="shared" si="5"/>
        <v>872.7272727</v>
      </c>
    </row>
    <row r="21" ht="15.75" customHeight="1">
      <c r="A21" s="42"/>
      <c r="B21" s="36"/>
      <c r="C21" s="36"/>
      <c r="D21" s="36"/>
      <c r="E21" s="36"/>
      <c r="F21" s="36"/>
      <c r="G21" s="36"/>
    </row>
    <row r="22" ht="15.75" customHeight="1">
      <c r="A22" s="43" t="s">
        <v>125</v>
      </c>
      <c r="B22" s="44">
        <v>0.0</v>
      </c>
      <c r="C22" s="44">
        <v>1.0</v>
      </c>
      <c r="D22" s="44">
        <v>2.0</v>
      </c>
      <c r="E22" s="44">
        <v>3.0</v>
      </c>
      <c r="F22" s="44">
        <v>4.0</v>
      </c>
      <c r="G22" s="44">
        <v>5.0</v>
      </c>
    </row>
    <row r="23" ht="15.75" customHeight="1">
      <c r="A23" s="35" t="s">
        <v>126</v>
      </c>
      <c r="B23" s="6">
        <v>0.32</v>
      </c>
    </row>
    <row r="24" ht="15.75" customHeight="1">
      <c r="A24" s="35" t="s">
        <v>127</v>
      </c>
      <c r="B24" s="6">
        <v>0.0</v>
      </c>
      <c r="C24" s="45">
        <v>20.0</v>
      </c>
      <c r="D24" s="45">
        <v>80.0</v>
      </c>
      <c r="E24" s="45">
        <v>120.0</v>
      </c>
      <c r="F24" s="45">
        <v>175.0</v>
      </c>
      <c r="G24" s="45">
        <v>250.0</v>
      </c>
    </row>
    <row r="25" ht="15.75" customHeight="1">
      <c r="A25" s="35" t="s">
        <v>128</v>
      </c>
      <c r="C25" s="6">
        <f t="shared" ref="C25:G25" si="6">C60</f>
        <v>481.8</v>
      </c>
      <c r="D25" s="6">
        <f t="shared" si="6"/>
        <v>1927.2</v>
      </c>
      <c r="E25" s="6">
        <f t="shared" si="6"/>
        <v>2890.8</v>
      </c>
      <c r="F25" s="6">
        <f t="shared" si="6"/>
        <v>4215.75</v>
      </c>
      <c r="G25" s="6">
        <f t="shared" si="6"/>
        <v>6022.5</v>
      </c>
    </row>
    <row r="26" ht="15.75" customHeight="1">
      <c r="A26" s="35" t="s">
        <v>129</v>
      </c>
      <c r="B26" s="36">
        <v>0.0</v>
      </c>
      <c r="C26" s="36">
        <f t="shared" ref="C26:G26" si="7">C60*$B$23</f>
        <v>154.176</v>
      </c>
      <c r="D26" s="36">
        <f t="shared" si="7"/>
        <v>616.704</v>
      </c>
      <c r="E26" s="36">
        <f t="shared" si="7"/>
        <v>925.056</v>
      </c>
      <c r="F26" s="36">
        <f t="shared" si="7"/>
        <v>1349.04</v>
      </c>
      <c r="G26" s="36">
        <f t="shared" si="7"/>
        <v>1927.2</v>
      </c>
    </row>
    <row r="27" ht="15.75" customHeight="1">
      <c r="A27" s="42" t="s">
        <v>130</v>
      </c>
      <c r="B27" s="36">
        <f t="shared" ref="B27:G27" si="8">B26</f>
        <v>0</v>
      </c>
      <c r="C27" s="36">
        <f t="shared" si="8"/>
        <v>154.176</v>
      </c>
      <c r="D27" s="36">
        <f t="shared" si="8"/>
        <v>616.704</v>
      </c>
      <c r="E27" s="36">
        <f t="shared" si="8"/>
        <v>925.056</v>
      </c>
      <c r="F27" s="36">
        <f t="shared" si="8"/>
        <v>1349.04</v>
      </c>
      <c r="G27" s="36">
        <f t="shared" si="8"/>
        <v>1927.2</v>
      </c>
    </row>
    <row r="28" ht="15.75" customHeight="1">
      <c r="A28" s="40" t="s">
        <v>131</v>
      </c>
      <c r="B28" s="41">
        <f t="shared" ref="B28:G28" si="9">B27-B20</f>
        <v>-31</v>
      </c>
      <c r="C28" s="41">
        <f t="shared" si="9"/>
        <v>107.6305455</v>
      </c>
      <c r="D28" s="41">
        <f t="shared" si="9"/>
        <v>217.1888485</v>
      </c>
      <c r="E28" s="41">
        <f t="shared" si="9"/>
        <v>343.2378182</v>
      </c>
      <c r="F28" s="41">
        <f t="shared" si="9"/>
        <v>573.2824242</v>
      </c>
      <c r="G28" s="41">
        <f t="shared" si="9"/>
        <v>1054.472727</v>
      </c>
      <c r="I28" s="21"/>
    </row>
    <row r="29" ht="15.75" customHeight="1">
      <c r="A29" s="42" t="s">
        <v>132</v>
      </c>
      <c r="B29" s="46">
        <f t="array" ref="B29">-B28 + NPV(B3, C28:G28)</f>
        <v>1728.371706</v>
      </c>
      <c r="C29" s="36"/>
      <c r="D29" s="36"/>
      <c r="E29" s="36"/>
      <c r="F29" s="36"/>
      <c r="G29" s="36"/>
      <c r="I29" s="21"/>
    </row>
    <row r="30" ht="15.75" customHeight="1">
      <c r="A30" s="42" t="s">
        <v>133</v>
      </c>
      <c r="B30" s="47" t="s">
        <v>134</v>
      </c>
      <c r="C30" s="36"/>
      <c r="D30" s="36"/>
      <c r="E30" s="36"/>
      <c r="F30" s="36"/>
      <c r="G30" s="36"/>
      <c r="I30" s="21"/>
    </row>
    <row r="31" ht="15.75" customHeight="1">
      <c r="A31" s="40" t="s">
        <v>135</v>
      </c>
      <c r="B31" s="41">
        <f>SUM(B28:G28)/SUM(B20:G20)</f>
        <v>0.8365379269</v>
      </c>
      <c r="C31" s="36"/>
      <c r="D31" s="36"/>
      <c r="E31" s="36"/>
      <c r="F31" s="36"/>
      <c r="G31" s="36"/>
      <c r="I31" s="21"/>
    </row>
    <row r="32" ht="15.75" customHeight="1">
      <c r="A32" s="35"/>
      <c r="B32" s="36"/>
      <c r="C32" s="36"/>
      <c r="D32" s="36"/>
      <c r="E32" s="36"/>
      <c r="F32" s="36"/>
      <c r="G32" s="36"/>
    </row>
    <row r="33" ht="15.75" customHeight="1">
      <c r="A33" s="44" t="s">
        <v>136</v>
      </c>
      <c r="B33" s="44">
        <v>0.0</v>
      </c>
      <c r="C33" s="44">
        <v>1.0</v>
      </c>
      <c r="D33" s="44">
        <v>2.0</v>
      </c>
      <c r="E33" s="44">
        <v>3.0</v>
      </c>
      <c r="F33" s="44">
        <v>4.0</v>
      </c>
      <c r="G33" s="44">
        <v>5.0</v>
      </c>
      <c r="H33" s="36"/>
      <c r="I33" s="36"/>
      <c r="J33" s="36"/>
      <c r="K33" s="36"/>
      <c r="L33" s="36"/>
    </row>
    <row r="34" ht="15.75" customHeight="1">
      <c r="A34" s="6" t="s">
        <v>126</v>
      </c>
      <c r="B34" s="6">
        <v>-0.46</v>
      </c>
      <c r="H34" s="36"/>
      <c r="I34" s="36"/>
      <c r="J34" s="36"/>
      <c r="K34" s="36"/>
      <c r="L34" s="36"/>
    </row>
    <row r="35" ht="15.75" customHeight="1">
      <c r="A35" s="35" t="s">
        <v>129</v>
      </c>
      <c r="B35" s="36">
        <v>0.0</v>
      </c>
      <c r="C35" s="36">
        <f t="shared" ref="C35:G35" si="10">C60*$B$34</f>
        <v>-221.628</v>
      </c>
      <c r="D35" s="36">
        <f t="shared" si="10"/>
        <v>-886.512</v>
      </c>
      <c r="E35" s="36">
        <f t="shared" si="10"/>
        <v>-1329.768</v>
      </c>
      <c r="F35" s="36">
        <f t="shared" si="10"/>
        <v>-1939.245</v>
      </c>
      <c r="G35" s="36">
        <f t="shared" si="10"/>
        <v>-2770.35</v>
      </c>
      <c r="H35" s="36"/>
      <c r="I35" s="36"/>
      <c r="J35" s="36"/>
      <c r="K35" s="36"/>
      <c r="L35" s="36"/>
    </row>
    <row r="36" ht="15.75" customHeight="1">
      <c r="A36" s="42" t="s">
        <v>130</v>
      </c>
      <c r="B36" s="36">
        <f t="shared" ref="B36:G36" si="11">B35</f>
        <v>0</v>
      </c>
      <c r="C36" s="36">
        <f t="shared" si="11"/>
        <v>-221.628</v>
      </c>
      <c r="D36" s="36">
        <f t="shared" si="11"/>
        <v>-886.512</v>
      </c>
      <c r="E36" s="36">
        <f t="shared" si="11"/>
        <v>-1329.768</v>
      </c>
      <c r="F36" s="36">
        <f t="shared" si="11"/>
        <v>-1939.245</v>
      </c>
      <c r="G36" s="36">
        <f t="shared" si="11"/>
        <v>-2770.35</v>
      </c>
      <c r="I36" s="36"/>
      <c r="J36" s="36"/>
      <c r="K36" s="36"/>
      <c r="L36" s="36"/>
    </row>
    <row r="37" ht="15.75" customHeight="1">
      <c r="A37" s="40" t="s">
        <v>131</v>
      </c>
      <c r="B37" s="41">
        <f t="shared" ref="B37:G37" si="12">B36-B$20</f>
        <v>-31</v>
      </c>
      <c r="C37" s="41">
        <f t="shared" si="12"/>
        <v>-268.1734545</v>
      </c>
      <c r="D37" s="41">
        <f t="shared" si="12"/>
        <v>-1286.027152</v>
      </c>
      <c r="E37" s="41">
        <f t="shared" si="12"/>
        <v>-1911.586182</v>
      </c>
      <c r="F37" s="41">
        <f t="shared" si="12"/>
        <v>-2715.002576</v>
      </c>
      <c r="G37" s="41">
        <f t="shared" si="12"/>
        <v>-3643.077273</v>
      </c>
      <c r="I37" s="21"/>
      <c r="J37" s="36"/>
      <c r="K37" s="36"/>
      <c r="L37" s="36"/>
    </row>
    <row r="38" ht="15.75" customHeight="1">
      <c r="A38" s="42" t="s">
        <v>132</v>
      </c>
      <c r="B38" s="46">
        <f t="array" ref="B38">B37 + NPV(B3, C37:G37)</f>
        <v>-7374.373619</v>
      </c>
      <c r="C38" s="36"/>
      <c r="D38" s="36"/>
      <c r="E38" s="36"/>
      <c r="F38" s="36"/>
      <c r="G38" s="36"/>
      <c r="I38" s="21"/>
      <c r="J38" s="36"/>
      <c r="K38" s="36"/>
      <c r="L38" s="36"/>
    </row>
    <row r="39" ht="15.75" customHeight="1">
      <c r="A39" s="42" t="s">
        <v>133</v>
      </c>
      <c r="B39" s="47" t="s">
        <v>137</v>
      </c>
      <c r="C39" s="36"/>
      <c r="D39" s="36"/>
      <c r="E39" s="36"/>
      <c r="F39" s="36"/>
      <c r="G39" s="36"/>
      <c r="I39" s="21"/>
      <c r="J39" s="36"/>
      <c r="K39" s="36"/>
      <c r="L39" s="36"/>
    </row>
    <row r="40" ht="15.75" customHeight="1">
      <c r="A40" s="40" t="s">
        <v>135</v>
      </c>
      <c r="B40" s="48">
        <f>SUM(B37:G37)/SUM(B20:G20)</f>
        <v>-3.64002327</v>
      </c>
      <c r="C40" s="36"/>
      <c r="D40" s="36"/>
      <c r="E40" s="36"/>
      <c r="F40" s="36"/>
      <c r="G40" s="36"/>
      <c r="I40" s="21"/>
      <c r="J40" s="36"/>
      <c r="K40" s="36"/>
      <c r="L40" s="36"/>
    </row>
    <row r="41" ht="15.75" customHeight="1">
      <c r="B41" s="36"/>
      <c r="C41" s="36"/>
      <c r="D41" s="36"/>
      <c r="E41" s="36"/>
      <c r="F41" s="36"/>
      <c r="G41" s="36"/>
      <c r="H41" s="36"/>
      <c r="I41" s="36"/>
      <c r="J41" s="36"/>
      <c r="K41" s="36"/>
      <c r="L41" s="36"/>
    </row>
    <row r="42" ht="15.75" customHeight="1">
      <c r="A42" s="44" t="s">
        <v>138</v>
      </c>
      <c r="B42" s="44">
        <v>0.0</v>
      </c>
      <c r="C42" s="44">
        <v>1.0</v>
      </c>
      <c r="D42" s="44">
        <v>2.0</v>
      </c>
      <c r="E42" s="44">
        <v>3.0</v>
      </c>
      <c r="F42" s="44">
        <v>4.0</v>
      </c>
      <c r="G42" s="44">
        <v>5.0</v>
      </c>
      <c r="H42" s="36"/>
      <c r="I42" s="36"/>
      <c r="J42" s="36"/>
      <c r="K42" s="36"/>
      <c r="L42" s="36"/>
    </row>
    <row r="43" ht="15.75" customHeight="1">
      <c r="A43" s="6" t="s">
        <v>126</v>
      </c>
      <c r="B43" s="6">
        <v>1.11</v>
      </c>
      <c r="H43" s="36"/>
      <c r="I43" s="36"/>
      <c r="J43" s="36"/>
      <c r="K43" s="36"/>
      <c r="L43" s="36"/>
    </row>
    <row r="44" ht="15.75" customHeight="1">
      <c r="A44" s="35" t="s">
        <v>129</v>
      </c>
      <c r="B44" s="36">
        <v>0.0</v>
      </c>
      <c r="C44" s="36">
        <f>C60*$B$43</f>
        <v>534.798</v>
      </c>
      <c r="D44" s="36">
        <f t="shared" ref="D44:G44" si="13">D60*1.11</f>
        <v>2139.192</v>
      </c>
      <c r="E44" s="36">
        <f t="shared" si="13"/>
        <v>3208.788</v>
      </c>
      <c r="F44" s="36">
        <f t="shared" si="13"/>
        <v>4679.4825</v>
      </c>
      <c r="G44" s="36">
        <f t="shared" si="13"/>
        <v>6684.975</v>
      </c>
      <c r="H44" s="36"/>
      <c r="I44" s="36"/>
      <c r="J44" s="36"/>
      <c r="K44" s="36"/>
      <c r="L44" s="36"/>
    </row>
    <row r="45" ht="15.75" customHeight="1">
      <c r="A45" s="35" t="s">
        <v>130</v>
      </c>
      <c r="B45" s="36">
        <f t="shared" ref="B45:G45" si="14">B44</f>
        <v>0</v>
      </c>
      <c r="C45" s="36">
        <f t="shared" si="14"/>
        <v>534.798</v>
      </c>
      <c r="D45" s="36">
        <f t="shared" si="14"/>
        <v>2139.192</v>
      </c>
      <c r="E45" s="36">
        <f t="shared" si="14"/>
        <v>3208.788</v>
      </c>
      <c r="F45" s="36">
        <f t="shared" si="14"/>
        <v>4679.4825</v>
      </c>
      <c r="G45" s="36">
        <f t="shared" si="14"/>
        <v>6684.975</v>
      </c>
      <c r="I45" s="36"/>
      <c r="J45" s="36"/>
      <c r="K45" s="36"/>
      <c r="L45" s="36"/>
    </row>
    <row r="46" ht="15.75" customHeight="1">
      <c r="A46" s="40" t="s">
        <v>131</v>
      </c>
      <c r="B46" s="41">
        <f t="shared" ref="B46:G46" si="15">B45-B$20</f>
        <v>-31</v>
      </c>
      <c r="C46" s="41">
        <f t="shared" si="15"/>
        <v>488.2525455</v>
      </c>
      <c r="D46" s="41">
        <f t="shared" si="15"/>
        <v>1739.676848</v>
      </c>
      <c r="E46" s="41">
        <f t="shared" si="15"/>
        <v>2626.969818</v>
      </c>
      <c r="F46" s="41">
        <f t="shared" si="15"/>
        <v>3903.724924</v>
      </c>
      <c r="G46" s="41">
        <f t="shared" si="15"/>
        <v>5812.247727</v>
      </c>
      <c r="I46" s="21"/>
      <c r="J46" s="36"/>
      <c r="K46" s="36"/>
      <c r="L46" s="36"/>
    </row>
    <row r="47" ht="15.75" customHeight="1">
      <c r="A47" s="42" t="s">
        <v>132</v>
      </c>
      <c r="B47" s="46">
        <f t="array" ref="B47">B46+NPV(B3,C46:G46)</f>
        <v>10823.02402</v>
      </c>
      <c r="C47" s="36"/>
      <c r="D47" s="36"/>
      <c r="E47" s="36"/>
      <c r="F47" s="36"/>
      <c r="G47" s="36"/>
      <c r="I47" s="21"/>
      <c r="J47" s="36"/>
      <c r="K47" s="36"/>
      <c r="L47" s="36"/>
    </row>
    <row r="48" ht="15.75" customHeight="1">
      <c r="A48" s="42" t="s">
        <v>133</v>
      </c>
      <c r="B48" s="47" t="s">
        <v>139</v>
      </c>
      <c r="C48" s="36"/>
      <c r="D48" s="36"/>
      <c r="E48" s="36"/>
      <c r="F48" s="36"/>
      <c r="G48" s="36"/>
      <c r="I48" s="21"/>
      <c r="J48" s="36"/>
      <c r="K48" s="36"/>
      <c r="L48" s="36"/>
    </row>
    <row r="49" ht="15.75" customHeight="1">
      <c r="A49" s="40" t="s">
        <v>135</v>
      </c>
      <c r="B49" s="48">
        <f>SUM(B46:G46)/SUM(B20:G20)</f>
        <v>5.370490934</v>
      </c>
      <c r="C49" s="36"/>
      <c r="D49" s="36"/>
      <c r="E49" s="36"/>
      <c r="F49" s="36"/>
      <c r="G49" s="36"/>
      <c r="I49" s="21"/>
      <c r="J49" s="36"/>
      <c r="K49" s="36"/>
      <c r="L49" s="36"/>
    </row>
    <row r="50" ht="15.75" customHeight="1"/>
    <row r="51" ht="15.75" customHeight="1">
      <c r="B51" s="36"/>
    </row>
    <row r="52" ht="15.75" customHeight="1"/>
    <row r="53" ht="15.75" customHeight="1">
      <c r="A53" s="49" t="s">
        <v>140</v>
      </c>
      <c r="B53" s="50"/>
      <c r="C53" s="50"/>
      <c r="D53" s="50"/>
      <c r="E53" s="50"/>
      <c r="F53" s="50"/>
      <c r="G53" s="50"/>
    </row>
    <row r="54" ht="15.75" customHeight="1">
      <c r="A54" s="45" t="s">
        <v>141</v>
      </c>
      <c r="B54" s="45">
        <v>120.0</v>
      </c>
      <c r="C54" s="45"/>
      <c r="D54" s="45" t="s">
        <v>142</v>
      </c>
      <c r="E54" s="39">
        <v>0.1</v>
      </c>
      <c r="F54" s="45"/>
      <c r="G54" s="45"/>
    </row>
    <row r="55" ht="15.75" customHeight="1">
      <c r="A55" s="45" t="s">
        <v>143</v>
      </c>
      <c r="B55" s="45">
        <v>60.0</v>
      </c>
      <c r="C55" s="45"/>
      <c r="D55" s="45"/>
      <c r="E55" s="39">
        <v>0.9</v>
      </c>
      <c r="F55" s="45"/>
      <c r="G55" s="45"/>
    </row>
    <row r="56" ht="15.75" customHeight="1">
      <c r="A56" s="45" t="s">
        <v>144</v>
      </c>
      <c r="B56" s="45">
        <f>B54*E54+B55*E55</f>
        <v>66</v>
      </c>
      <c r="C56" s="45"/>
      <c r="D56" s="45"/>
      <c r="E56" s="45"/>
      <c r="F56" s="45"/>
      <c r="G56" s="45"/>
    </row>
    <row r="57" ht="15.75" customHeight="1">
      <c r="A57" s="45"/>
      <c r="B57" s="45"/>
      <c r="C57" s="45"/>
      <c r="D57" s="45"/>
      <c r="E57" s="45"/>
      <c r="F57" s="45"/>
      <c r="G57" s="45"/>
    </row>
    <row r="58" ht="15.75" customHeight="1">
      <c r="A58" s="51" t="s">
        <v>145</v>
      </c>
      <c r="B58" s="45"/>
      <c r="C58" s="45">
        <v>20.0</v>
      </c>
      <c r="D58" s="45">
        <v>80.0</v>
      </c>
      <c r="E58" s="45">
        <v>120.0</v>
      </c>
      <c r="F58" s="45">
        <v>175.0</v>
      </c>
      <c r="G58" s="45">
        <v>250.0</v>
      </c>
    </row>
    <row r="59" ht="15.75" customHeight="1">
      <c r="A59" s="45" t="s">
        <v>146</v>
      </c>
      <c r="B59" s="45"/>
      <c r="C59" s="45"/>
      <c r="D59" s="39">
        <f t="shared" ref="D59:G59" si="16">D58/C58 -1</f>
        <v>3</v>
      </c>
      <c r="E59" s="39">
        <f t="shared" si="16"/>
        <v>0.5</v>
      </c>
      <c r="F59" s="39">
        <f t="shared" si="16"/>
        <v>0.4583333333</v>
      </c>
      <c r="G59" s="39">
        <f t="shared" si="16"/>
        <v>0.4285714286</v>
      </c>
    </row>
    <row r="60" ht="15.75" customHeight="1">
      <c r="A60" s="45" t="s">
        <v>128</v>
      </c>
      <c r="B60" s="45"/>
      <c r="C60" s="45">
        <f t="shared" ref="C60:G60" si="17">365*$B$56*C58/1000</f>
        <v>481.8</v>
      </c>
      <c r="D60" s="45">
        <f t="shared" si="17"/>
        <v>1927.2</v>
      </c>
      <c r="E60" s="45">
        <f t="shared" si="17"/>
        <v>2890.8</v>
      </c>
      <c r="F60" s="45">
        <f t="shared" si="17"/>
        <v>4215.75</v>
      </c>
      <c r="G60" s="45">
        <f t="shared" si="17"/>
        <v>6022.5</v>
      </c>
    </row>
    <row r="61" ht="15.75" customHeight="1"/>
    <row r="62" ht="15.75" customHeight="1">
      <c r="A62" s="51" t="s">
        <v>147</v>
      </c>
      <c r="C62" s="45">
        <v>20.0</v>
      </c>
      <c r="D62" s="6">
        <v>40.0</v>
      </c>
      <c r="E62" s="6">
        <v>90.0</v>
      </c>
      <c r="F62" s="6">
        <v>120.0</v>
      </c>
      <c r="G62" s="6">
        <v>150.0</v>
      </c>
    </row>
    <row r="63" ht="15.75" customHeight="1">
      <c r="A63" s="45" t="s">
        <v>146</v>
      </c>
      <c r="D63" s="21">
        <f t="shared" ref="D63:G63" si="18">D62/C62 -1</f>
        <v>1</v>
      </c>
      <c r="E63" s="21">
        <f t="shared" si="18"/>
        <v>1.25</v>
      </c>
      <c r="F63" s="21">
        <f t="shared" si="18"/>
        <v>0.3333333333</v>
      </c>
      <c r="G63" s="21">
        <f t="shared" si="18"/>
        <v>0.25</v>
      </c>
    </row>
    <row r="64" ht="15.75" customHeight="1">
      <c r="A64" s="45" t="s">
        <v>128</v>
      </c>
      <c r="C64" s="6">
        <f t="shared" ref="C64:G64" si="19">365*$B$56*C62/1000</f>
        <v>481.8</v>
      </c>
      <c r="D64" s="6">
        <f t="shared" si="19"/>
        <v>963.6</v>
      </c>
      <c r="E64" s="6">
        <f t="shared" si="19"/>
        <v>2168.1</v>
      </c>
      <c r="F64" s="6">
        <f t="shared" si="19"/>
        <v>2890.8</v>
      </c>
      <c r="G64" s="6">
        <f t="shared" si="19"/>
        <v>3613.5</v>
      </c>
    </row>
    <row r="65" ht="15.75" customHeight="1"/>
    <row r="66" ht="15.75" customHeight="1">
      <c r="A66" s="51" t="s">
        <v>148</v>
      </c>
      <c r="C66" s="6">
        <v>20.0</v>
      </c>
      <c r="D66" s="6">
        <v>36.0</v>
      </c>
      <c r="E66" s="6">
        <v>50.0</v>
      </c>
      <c r="F66" s="6">
        <v>80.0</v>
      </c>
      <c r="G66" s="6">
        <v>100.0</v>
      </c>
    </row>
    <row r="67" ht="15.75" customHeight="1">
      <c r="A67" s="45" t="s">
        <v>146</v>
      </c>
      <c r="D67" s="21">
        <f t="shared" ref="D67:G67" si="20">D66/C66 -1</f>
        <v>0.8</v>
      </c>
      <c r="E67" s="21">
        <f t="shared" si="20"/>
        <v>0.3888888889</v>
      </c>
      <c r="F67" s="21">
        <f t="shared" si="20"/>
        <v>0.6</v>
      </c>
      <c r="G67" s="21">
        <f t="shared" si="20"/>
        <v>0.25</v>
      </c>
    </row>
    <row r="68" ht="15.75" customHeight="1">
      <c r="A68" s="45" t="s">
        <v>128</v>
      </c>
      <c r="C68" s="6">
        <f t="shared" ref="C68:G68" si="21">365*$B$56*C66/1000</f>
        <v>481.8</v>
      </c>
      <c r="D68" s="6">
        <f t="shared" si="21"/>
        <v>867.24</v>
      </c>
      <c r="E68" s="6">
        <f t="shared" si="21"/>
        <v>1204.5</v>
      </c>
      <c r="F68" s="6">
        <f t="shared" si="21"/>
        <v>1927.2</v>
      </c>
      <c r="G68" s="6">
        <f t="shared" si="21"/>
        <v>2409</v>
      </c>
    </row>
    <row r="69" ht="15.75" customHeight="1">
      <c r="A69" s="45"/>
    </row>
    <row r="70" ht="15.75" customHeight="1">
      <c r="A70" s="52" t="s">
        <v>149</v>
      </c>
      <c r="B70" s="53"/>
      <c r="C70" s="53"/>
      <c r="D70" s="53"/>
      <c r="E70" s="53"/>
      <c r="F70" s="53"/>
      <c r="G70" s="53"/>
    </row>
    <row r="71" ht="15.75" customHeight="1">
      <c r="A71" s="54"/>
      <c r="B71" s="55"/>
      <c r="C71" s="56" t="s">
        <v>150</v>
      </c>
      <c r="D71" s="57"/>
      <c r="E71" s="57"/>
      <c r="F71" s="57"/>
      <c r="G71" s="57"/>
    </row>
    <row r="72" ht="15.75" customHeight="1">
      <c r="A72" s="58" t="s">
        <v>151</v>
      </c>
      <c r="B72" s="59">
        <f>B29</f>
        <v>1728.371706</v>
      </c>
      <c r="C72" s="53">
        <v>100.0</v>
      </c>
      <c r="D72" s="60">
        <v>150.0</v>
      </c>
      <c r="E72" s="53">
        <v>200.0</v>
      </c>
      <c r="F72" s="53">
        <v>250.0</v>
      </c>
      <c r="G72" s="53">
        <v>300.0</v>
      </c>
    </row>
    <row r="73" ht="15.75" customHeight="1">
      <c r="A73" s="61"/>
      <c r="B73" s="62">
        <v>-0.5</v>
      </c>
      <c r="C73" s="46">
        <v>-6546.357892814825</v>
      </c>
      <c r="D73" s="46">
        <v>-6956.239123228403</v>
      </c>
      <c r="E73" s="46">
        <v>-7366.120353641981</v>
      </c>
      <c r="F73" s="46">
        <v>-7776.001584055559</v>
      </c>
      <c r="G73" s="46">
        <v>-8185.882814469136</v>
      </c>
    </row>
    <row r="74" ht="15.75" customHeight="1">
      <c r="A74" s="61"/>
      <c r="B74" s="62">
        <v>-0.25</v>
      </c>
      <c r="C74" s="46">
        <v>-4263.504954935132</v>
      </c>
      <c r="D74" s="46">
        <v>-4468.445570141921</v>
      </c>
      <c r="E74" s="46">
        <v>-4673.386185348711</v>
      </c>
      <c r="F74" s="46">
        <v>-4878.326800555498</v>
      </c>
      <c r="G74" s="46">
        <v>-5083.267415762288</v>
      </c>
    </row>
    <row r="75" ht="15.75" customHeight="1">
      <c r="A75" s="61"/>
      <c r="B75" s="63">
        <v>0.0</v>
      </c>
      <c r="C75" s="46">
        <v>-1980.652017055439</v>
      </c>
      <c r="D75" s="46">
        <v>-1980.652017055439</v>
      </c>
      <c r="E75" s="46">
        <v>-1980.652017055439</v>
      </c>
      <c r="F75" s="46">
        <v>-1980.652017055439</v>
      </c>
      <c r="G75" s="46">
        <v>-1980.652017055439</v>
      </c>
    </row>
    <row r="76" ht="15.75" customHeight="1">
      <c r="A76" s="61"/>
      <c r="B76" s="62">
        <v>0.25</v>
      </c>
      <c r="C76" s="46">
        <v>302.20092082425435</v>
      </c>
      <c r="D76" s="46">
        <v>507.1415360310433</v>
      </c>
      <c r="E76" s="46">
        <v>712.0821512378321</v>
      </c>
      <c r="F76" s="46">
        <v>917.022766444621</v>
      </c>
      <c r="G76" s="46">
        <v>1121.9633816514097</v>
      </c>
    </row>
    <row r="77" ht="15.75" customHeight="1">
      <c r="A77" s="61"/>
      <c r="B77" s="62">
        <v>0.5</v>
      </c>
      <c r="C77" s="46">
        <v>2585.0538587039478</v>
      </c>
      <c r="D77" s="46">
        <v>2994.9350891175254</v>
      </c>
      <c r="E77" s="46">
        <v>3404.816319531103</v>
      </c>
      <c r="F77" s="46">
        <v>3814.6975499446808</v>
      </c>
      <c r="G77" s="46">
        <v>4224.578780358259</v>
      </c>
    </row>
    <row r="78" ht="15.75" customHeight="1">
      <c r="A78" s="61"/>
      <c r="B78" s="62">
        <v>0.75</v>
      </c>
      <c r="C78" s="46">
        <v>4867.906796583641</v>
      </c>
      <c r="D78" s="46">
        <v>5482.728642204008</v>
      </c>
      <c r="E78" s="46">
        <v>6097.550487824374</v>
      </c>
      <c r="F78" s="46">
        <v>6712.372333444741</v>
      </c>
      <c r="G78" s="46">
        <v>7327.194179065107</v>
      </c>
    </row>
    <row r="79" ht="15.75" customHeight="1">
      <c r="A79" s="61"/>
      <c r="B79" s="62">
        <v>1.0</v>
      </c>
      <c r="C79" s="46">
        <v>7150.759734463333</v>
      </c>
      <c r="D79" s="46">
        <v>7970.522195290488</v>
      </c>
      <c r="E79" s="46">
        <v>8790.284656117645</v>
      </c>
      <c r="F79" s="46">
        <v>9610.047116944801</v>
      </c>
      <c r="G79" s="46">
        <v>10429.809577771955</v>
      </c>
    </row>
    <row r="80" ht="15.75" customHeight="1">
      <c r="A80" s="61"/>
      <c r="B80" s="62">
        <v>1.25</v>
      </c>
      <c r="C80" s="46">
        <v>9433.612672343028</v>
      </c>
      <c r="D80" s="46">
        <v>10458.31574837697</v>
      </c>
      <c r="E80" s="46">
        <v>11483.018824410916</v>
      </c>
      <c r="F80" s="46">
        <v>12507.72190044486</v>
      </c>
      <c r="G80" s="46">
        <v>13532.424976478804</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B5:G5"/>
    <mergeCell ref="C71:G71"/>
    <mergeCell ref="A72:A8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3.11"/>
    <col customWidth="1" min="2" max="2" width="12.33"/>
    <col customWidth="1" min="3" max="3" width="10.44"/>
    <col customWidth="1" min="4" max="6" width="8.67"/>
    <col customWidth="1" min="7" max="7" width="13.33"/>
    <col customWidth="1" min="8" max="8" width="15.11"/>
    <col customWidth="1" min="9" max="9" width="10.78"/>
    <col customWidth="1" min="10" max="12" width="8.67"/>
    <col customWidth="1" min="13" max="26" width="14.44"/>
  </cols>
  <sheetData>
    <row r="1" ht="60.75" customHeight="1">
      <c r="A1" s="64" t="s">
        <v>152</v>
      </c>
      <c r="B1" s="2"/>
      <c r="C1" s="2"/>
      <c r="D1" s="2"/>
      <c r="E1" s="2"/>
      <c r="F1" s="2"/>
      <c r="G1" s="3"/>
      <c r="H1" s="65"/>
      <c r="I1" s="65"/>
      <c r="J1" s="65"/>
      <c r="K1" s="65"/>
      <c r="L1" s="65"/>
      <c r="M1" s="65"/>
      <c r="N1" s="65"/>
      <c r="O1" s="65"/>
      <c r="P1" s="65"/>
      <c r="Q1" s="65"/>
      <c r="R1" s="65"/>
      <c r="S1" s="65"/>
      <c r="T1" s="65"/>
      <c r="U1" s="65"/>
      <c r="V1" s="65"/>
      <c r="W1" s="65"/>
      <c r="X1" s="65"/>
      <c r="Y1" s="65"/>
      <c r="Z1" s="65"/>
    </row>
    <row r="2" ht="14.25" customHeight="1">
      <c r="A2" s="66" t="s">
        <v>105</v>
      </c>
      <c r="B2" s="67"/>
      <c r="C2" s="67"/>
      <c r="D2" s="67"/>
      <c r="E2" s="67"/>
      <c r="F2" s="67"/>
      <c r="G2" s="67"/>
      <c r="H2" s="65"/>
      <c r="I2" s="65"/>
      <c r="J2" s="65"/>
      <c r="K2" s="65"/>
      <c r="L2" s="65"/>
      <c r="M2" s="65"/>
      <c r="N2" s="65"/>
      <c r="O2" s="65"/>
      <c r="P2" s="65"/>
      <c r="Q2" s="65"/>
      <c r="R2" s="65"/>
      <c r="S2" s="65"/>
      <c r="T2" s="65"/>
      <c r="U2" s="65"/>
      <c r="V2" s="65"/>
      <c r="W2" s="65"/>
      <c r="X2" s="65"/>
      <c r="Y2" s="65"/>
      <c r="Z2" s="65"/>
    </row>
    <row r="3" ht="14.25" customHeight="1">
      <c r="A3" s="68"/>
      <c r="B3" s="68"/>
      <c r="C3" s="68"/>
      <c r="D3" s="68"/>
      <c r="E3" s="68"/>
      <c r="F3" s="68"/>
      <c r="G3" s="68"/>
      <c r="H3" s="65"/>
      <c r="I3" s="65"/>
      <c r="J3" s="65"/>
      <c r="K3" s="65"/>
      <c r="L3" s="65"/>
      <c r="M3" s="65"/>
      <c r="N3" s="65"/>
      <c r="O3" s="65"/>
      <c r="P3" s="65"/>
      <c r="Q3" s="65"/>
      <c r="R3" s="65"/>
      <c r="S3" s="65"/>
      <c r="T3" s="65"/>
      <c r="U3" s="65"/>
      <c r="V3" s="65"/>
      <c r="W3" s="65"/>
      <c r="X3" s="65"/>
      <c r="Y3" s="65"/>
      <c r="Z3" s="65"/>
    </row>
    <row r="4" ht="14.25" customHeight="1">
      <c r="A4" s="69" t="s">
        <v>153</v>
      </c>
      <c r="B4" s="57"/>
      <c r="C4" s="57"/>
      <c r="D4" s="57"/>
      <c r="E4" s="57"/>
      <c r="F4" s="57"/>
      <c r="G4" s="70"/>
      <c r="H4" s="65"/>
      <c r="I4" s="65"/>
      <c r="J4" s="65"/>
      <c r="K4" s="65"/>
      <c r="L4" s="65"/>
      <c r="M4" s="65"/>
      <c r="N4" s="65"/>
      <c r="O4" s="65"/>
      <c r="P4" s="65"/>
      <c r="Q4" s="65"/>
      <c r="R4" s="65"/>
      <c r="S4" s="65"/>
      <c r="T4" s="65"/>
      <c r="U4" s="65"/>
      <c r="V4" s="65"/>
      <c r="W4" s="65"/>
      <c r="X4" s="65"/>
      <c r="Y4" s="65"/>
      <c r="Z4" s="65"/>
    </row>
    <row r="5" ht="14.25" customHeight="1">
      <c r="A5" s="71" t="s">
        <v>154</v>
      </c>
      <c r="B5" s="72">
        <v>0.08</v>
      </c>
      <c r="C5" s="65"/>
      <c r="D5" s="73" t="s">
        <v>155</v>
      </c>
      <c r="E5" s="57"/>
      <c r="F5" s="70"/>
      <c r="G5" s="74">
        <v>16426.0</v>
      </c>
      <c r="H5" s="65"/>
      <c r="I5" s="65"/>
      <c r="J5" s="65"/>
      <c r="K5" s="65"/>
      <c r="L5" s="65"/>
      <c r="M5" s="65"/>
      <c r="N5" s="65"/>
      <c r="O5" s="65"/>
      <c r="P5" s="65"/>
      <c r="Q5" s="65"/>
      <c r="R5" s="65"/>
      <c r="S5" s="65"/>
      <c r="T5" s="65"/>
      <c r="U5" s="65"/>
      <c r="V5" s="65"/>
      <c r="W5" s="65"/>
      <c r="X5" s="65"/>
      <c r="Y5" s="65"/>
      <c r="Z5" s="65"/>
    </row>
    <row r="6" ht="14.25" customHeight="1">
      <c r="A6" s="71" t="s">
        <v>156</v>
      </c>
      <c r="B6" s="71">
        <v>5840.0</v>
      </c>
      <c r="C6" s="65"/>
      <c r="D6" s="73" t="s">
        <v>157</v>
      </c>
      <c r="E6" s="57"/>
      <c r="F6" s="70"/>
      <c r="G6" s="74">
        <v>2.8</v>
      </c>
      <c r="H6" s="65"/>
      <c r="I6" s="65"/>
      <c r="J6" s="65"/>
      <c r="K6" s="65"/>
      <c r="L6" s="65"/>
      <c r="M6" s="65"/>
      <c r="N6" s="65"/>
      <c r="O6" s="65"/>
      <c r="P6" s="65"/>
      <c r="Q6" s="65"/>
      <c r="R6" s="65"/>
      <c r="S6" s="65"/>
      <c r="T6" s="65"/>
      <c r="U6" s="65"/>
      <c r="V6" s="65"/>
      <c r="W6" s="65"/>
      <c r="X6" s="65"/>
      <c r="Y6" s="65"/>
      <c r="Z6" s="65"/>
    </row>
    <row r="7" ht="14.25" customHeight="1">
      <c r="A7" s="71" t="s">
        <v>158</v>
      </c>
      <c r="B7" s="71">
        <v>481.0</v>
      </c>
      <c r="C7" s="65"/>
      <c r="D7" s="73" t="s">
        <v>159</v>
      </c>
      <c r="E7" s="57"/>
      <c r="F7" s="70"/>
      <c r="G7" s="74">
        <f>1.46</f>
        <v>1.46</v>
      </c>
      <c r="H7" s="65"/>
      <c r="I7" s="75"/>
      <c r="J7" s="65"/>
      <c r="K7" s="65"/>
      <c r="L7" s="65"/>
      <c r="M7" s="65"/>
      <c r="N7" s="65"/>
      <c r="O7" s="65"/>
      <c r="P7" s="65"/>
      <c r="Q7" s="65"/>
      <c r="R7" s="65"/>
      <c r="S7" s="65"/>
      <c r="T7" s="65"/>
      <c r="U7" s="65"/>
      <c r="V7" s="65"/>
      <c r="W7" s="65"/>
      <c r="X7" s="65"/>
      <c r="Y7" s="65"/>
      <c r="Z7" s="65"/>
    </row>
    <row r="8" ht="14.25" customHeight="1">
      <c r="A8" s="71" t="s">
        <v>160</v>
      </c>
      <c r="B8" s="72"/>
      <c r="C8" s="65"/>
      <c r="D8" s="76" t="s">
        <v>141</v>
      </c>
      <c r="E8" s="76"/>
      <c r="F8" s="76"/>
      <c r="G8" s="76">
        <v>120.0</v>
      </c>
      <c r="H8" s="65"/>
      <c r="I8" s="65"/>
      <c r="J8" s="65"/>
      <c r="K8" s="65"/>
      <c r="L8" s="65"/>
      <c r="M8" s="65"/>
      <c r="N8" s="65"/>
      <c r="O8" s="65"/>
      <c r="P8" s="65"/>
      <c r="Q8" s="65"/>
      <c r="R8" s="65"/>
      <c r="S8" s="65"/>
      <c r="T8" s="65"/>
      <c r="U8" s="65"/>
      <c r="V8" s="65"/>
      <c r="W8" s="65"/>
      <c r="X8" s="65"/>
      <c r="Y8" s="65"/>
      <c r="Z8" s="65"/>
    </row>
    <row r="9" ht="14.25" customHeight="1">
      <c r="A9" s="76" t="s">
        <v>161</v>
      </c>
      <c r="B9" s="77">
        <v>15.0</v>
      </c>
      <c r="C9" s="68"/>
      <c r="D9" s="76" t="s">
        <v>143</v>
      </c>
      <c r="E9" s="76"/>
      <c r="F9" s="78"/>
      <c r="G9" s="76">
        <v>60.0</v>
      </c>
      <c r="H9" s="65"/>
      <c r="I9" s="65"/>
      <c r="J9" s="65"/>
      <c r="K9" s="65"/>
      <c r="L9" s="65"/>
      <c r="M9" s="65"/>
      <c r="N9" s="65"/>
      <c r="O9" s="65"/>
      <c r="P9" s="65"/>
      <c r="Q9" s="65"/>
      <c r="R9" s="65"/>
      <c r="S9" s="65"/>
      <c r="T9" s="65"/>
      <c r="U9" s="65"/>
      <c r="V9" s="65"/>
      <c r="W9" s="65"/>
      <c r="X9" s="65"/>
      <c r="Y9" s="65"/>
      <c r="Z9" s="65"/>
    </row>
    <row r="10" ht="14.25" customHeight="1">
      <c r="A10" s="65"/>
      <c r="B10" s="68"/>
      <c r="C10" s="68"/>
      <c r="D10" s="76" t="s">
        <v>144</v>
      </c>
      <c r="E10" s="76"/>
      <c r="F10" s="78"/>
      <c r="G10" s="76">
        <f>$E$50*$B$50 + $E$51*$B$51</f>
        <v>66</v>
      </c>
      <c r="H10" s="65"/>
      <c r="I10" s="65"/>
      <c r="J10" s="65"/>
      <c r="K10" s="65"/>
      <c r="L10" s="65"/>
      <c r="M10" s="65"/>
      <c r="N10" s="65"/>
      <c r="O10" s="65"/>
      <c r="P10" s="65"/>
      <c r="Q10" s="65"/>
      <c r="R10" s="65"/>
      <c r="S10" s="65"/>
      <c r="T10" s="65"/>
      <c r="U10" s="65"/>
      <c r="V10" s="65"/>
      <c r="W10" s="65"/>
      <c r="X10" s="65"/>
      <c r="Y10" s="65"/>
      <c r="Z10" s="65"/>
    </row>
    <row r="11" ht="14.25" customHeight="1">
      <c r="A11" s="65"/>
      <c r="B11" s="68"/>
      <c r="C11" s="68"/>
      <c r="D11" s="68"/>
      <c r="E11" s="68"/>
      <c r="F11" s="68"/>
      <c r="G11" s="65"/>
      <c r="H11" s="65"/>
      <c r="I11" s="65"/>
      <c r="J11" s="65"/>
      <c r="K11" s="65"/>
      <c r="L11" s="65"/>
      <c r="M11" s="65"/>
      <c r="N11" s="65"/>
      <c r="O11" s="65"/>
      <c r="P11" s="65"/>
      <c r="Q11" s="65"/>
      <c r="R11" s="65"/>
      <c r="S11" s="65"/>
      <c r="T11" s="65"/>
      <c r="U11" s="65"/>
      <c r="V11" s="65"/>
      <c r="W11" s="65"/>
      <c r="X11" s="65"/>
      <c r="Y11" s="65"/>
      <c r="Z11" s="65"/>
    </row>
    <row r="12" ht="14.25" customHeight="1">
      <c r="A12" s="65"/>
      <c r="B12" s="68" t="s">
        <v>108</v>
      </c>
      <c r="G12" s="65"/>
      <c r="H12" s="65"/>
      <c r="I12" s="65"/>
      <c r="J12" s="65"/>
      <c r="K12" s="65"/>
      <c r="L12" s="65"/>
      <c r="M12" s="65"/>
      <c r="N12" s="65"/>
      <c r="O12" s="65"/>
      <c r="P12" s="65"/>
      <c r="Q12" s="65"/>
      <c r="R12" s="65"/>
      <c r="S12" s="65"/>
      <c r="T12" s="65"/>
      <c r="U12" s="65"/>
      <c r="V12" s="65"/>
      <c r="W12" s="65"/>
      <c r="X12" s="65"/>
      <c r="Y12" s="65"/>
      <c r="Z12" s="65"/>
    </row>
    <row r="13" ht="14.25" customHeight="1">
      <c r="A13" s="79" t="s">
        <v>162</v>
      </c>
      <c r="B13" s="80">
        <v>0.0</v>
      </c>
      <c r="C13" s="81">
        <v>1.0</v>
      </c>
      <c r="D13" s="81">
        <v>2.0</v>
      </c>
      <c r="E13" s="80">
        <v>3.0</v>
      </c>
      <c r="F13" s="81">
        <v>4.0</v>
      </c>
      <c r="G13" s="81">
        <v>5.0</v>
      </c>
      <c r="H13" s="35"/>
      <c r="I13" s="35"/>
      <c r="J13" s="65"/>
      <c r="K13" s="65"/>
      <c r="L13" s="65"/>
      <c r="M13" s="65"/>
      <c r="N13" s="65"/>
      <c r="O13" s="65"/>
      <c r="P13" s="65"/>
      <c r="Q13" s="65"/>
      <c r="R13" s="65"/>
      <c r="S13" s="65"/>
      <c r="T13" s="65"/>
      <c r="U13" s="65"/>
      <c r="V13" s="65"/>
      <c r="W13" s="65"/>
      <c r="X13" s="65"/>
      <c r="Y13" s="65"/>
      <c r="Z13" s="65"/>
    </row>
    <row r="14" ht="14.25" customHeight="1">
      <c r="A14" s="82" t="s">
        <v>163</v>
      </c>
      <c r="B14" s="83">
        <v>3.0</v>
      </c>
      <c r="C14" s="35"/>
      <c r="D14" s="35"/>
      <c r="E14" s="35"/>
      <c r="F14" s="35"/>
      <c r="G14" s="82"/>
      <c r="H14" s="35"/>
      <c r="I14" s="35"/>
      <c r="J14" s="65"/>
      <c r="K14" s="65"/>
      <c r="L14" s="65"/>
      <c r="M14" s="65"/>
      <c r="N14" s="65"/>
      <c r="O14" s="65"/>
      <c r="P14" s="65"/>
      <c r="Q14" s="65"/>
      <c r="R14" s="65"/>
      <c r="S14" s="65"/>
      <c r="T14" s="65"/>
      <c r="U14" s="65"/>
      <c r="V14" s="65"/>
      <c r="W14" s="65"/>
      <c r="X14" s="65"/>
      <c r="Y14" s="65"/>
      <c r="Z14" s="65"/>
    </row>
    <row r="15" ht="14.25" customHeight="1">
      <c r="A15" s="82" t="s">
        <v>164</v>
      </c>
      <c r="B15" s="83">
        <v>15.0</v>
      </c>
      <c r="C15" s="35"/>
      <c r="D15" s="35"/>
      <c r="E15" s="35"/>
      <c r="F15" s="35"/>
      <c r="G15" s="82"/>
      <c r="H15" s="35"/>
      <c r="I15" s="35"/>
      <c r="J15" s="65"/>
      <c r="K15" s="65"/>
      <c r="L15" s="65"/>
      <c r="M15" s="65"/>
      <c r="N15" s="65"/>
      <c r="O15" s="65"/>
      <c r="P15" s="65"/>
      <c r="Q15" s="65"/>
      <c r="R15" s="65"/>
      <c r="S15" s="65"/>
      <c r="T15" s="65"/>
      <c r="U15" s="65"/>
      <c r="V15" s="65"/>
      <c r="W15" s="65"/>
      <c r="X15" s="65"/>
      <c r="Y15" s="65"/>
      <c r="Z15" s="65"/>
    </row>
    <row r="16" ht="14.25" customHeight="1">
      <c r="A16" s="82" t="s">
        <v>165</v>
      </c>
      <c r="B16" s="83">
        <v>1.5</v>
      </c>
      <c r="C16" s="35"/>
      <c r="D16" s="35"/>
      <c r="E16" s="35"/>
      <c r="F16" s="35"/>
      <c r="G16" s="82"/>
      <c r="H16" s="35"/>
      <c r="I16" s="35"/>
      <c r="J16" s="65"/>
      <c r="K16" s="65"/>
      <c r="L16" s="65"/>
      <c r="M16" s="65"/>
      <c r="N16" s="65"/>
      <c r="O16" s="65"/>
      <c r="P16" s="65"/>
      <c r="Q16" s="65"/>
      <c r="R16" s="65"/>
      <c r="S16" s="65"/>
      <c r="T16" s="65"/>
      <c r="U16" s="65"/>
      <c r="V16" s="65"/>
      <c r="W16" s="65"/>
      <c r="X16" s="65"/>
      <c r="Y16" s="65"/>
      <c r="Z16" s="65"/>
    </row>
    <row r="17" ht="14.25" customHeight="1">
      <c r="A17" s="82" t="s">
        <v>166</v>
      </c>
      <c r="B17" s="83">
        <v>1.5</v>
      </c>
      <c r="C17" s="35"/>
      <c r="D17" s="35"/>
      <c r="E17" s="35"/>
      <c r="F17" s="35"/>
      <c r="G17" s="82"/>
      <c r="H17" s="35"/>
      <c r="I17" s="35"/>
      <c r="J17" s="65"/>
      <c r="K17" s="65"/>
      <c r="L17" s="65"/>
      <c r="M17" s="65"/>
      <c r="N17" s="65"/>
      <c r="O17" s="65"/>
      <c r="P17" s="65"/>
      <c r="Q17" s="65"/>
      <c r="R17" s="65"/>
      <c r="S17" s="65"/>
      <c r="T17" s="65"/>
      <c r="U17" s="65"/>
      <c r="V17" s="65"/>
      <c r="W17" s="65"/>
      <c r="X17" s="65"/>
      <c r="Y17" s="65"/>
      <c r="Z17" s="65"/>
    </row>
    <row r="18" ht="14.25" customHeight="1">
      <c r="A18" s="82" t="s">
        <v>167</v>
      </c>
      <c r="B18" s="83">
        <v>1.5</v>
      </c>
      <c r="C18" s="35"/>
      <c r="D18" s="35"/>
      <c r="E18" s="35"/>
      <c r="F18" s="35"/>
      <c r="G18" s="82"/>
      <c r="H18" s="35"/>
      <c r="I18" s="35"/>
      <c r="J18" s="65"/>
      <c r="K18" s="65"/>
      <c r="L18" s="65"/>
      <c r="M18" s="65"/>
      <c r="N18" s="65"/>
      <c r="O18" s="65"/>
      <c r="P18" s="65"/>
      <c r="Q18" s="65"/>
      <c r="R18" s="65"/>
      <c r="S18" s="65"/>
      <c r="T18" s="65"/>
      <c r="U18" s="65"/>
      <c r="V18" s="65"/>
      <c r="W18" s="65"/>
      <c r="X18" s="65"/>
      <c r="Y18" s="65"/>
      <c r="Z18" s="65"/>
    </row>
    <row r="19" ht="14.25" customHeight="1">
      <c r="A19" s="82" t="s">
        <v>168</v>
      </c>
      <c r="B19" s="83">
        <v>0.5</v>
      </c>
      <c r="C19" s="35"/>
      <c r="D19" s="35"/>
      <c r="E19" s="35"/>
      <c r="F19" s="35"/>
      <c r="G19" s="82"/>
      <c r="H19" s="35"/>
      <c r="I19" s="35"/>
      <c r="J19" s="65"/>
      <c r="K19" s="65"/>
      <c r="L19" s="65"/>
      <c r="M19" s="65"/>
      <c r="N19" s="65"/>
      <c r="O19" s="65"/>
      <c r="P19" s="65"/>
      <c r="Q19" s="65"/>
      <c r="R19" s="65"/>
      <c r="S19" s="65"/>
      <c r="T19" s="65"/>
      <c r="U19" s="65"/>
      <c r="V19" s="65"/>
      <c r="W19" s="65"/>
      <c r="X19" s="65"/>
      <c r="Y19" s="65"/>
      <c r="Z19" s="65"/>
    </row>
    <row r="20" ht="14.25" customHeight="1">
      <c r="A20" s="84" t="s">
        <v>169</v>
      </c>
      <c r="B20" s="85">
        <f>C30</f>
        <v>598.0993333</v>
      </c>
      <c r="C20" s="35"/>
      <c r="D20" s="35"/>
      <c r="E20" s="35"/>
      <c r="F20" s="35"/>
      <c r="G20" s="82"/>
      <c r="H20" s="35"/>
      <c r="I20" s="35"/>
      <c r="J20" s="65"/>
      <c r="K20" s="65"/>
      <c r="L20" s="65"/>
      <c r="M20" s="65"/>
      <c r="N20" s="65"/>
      <c r="O20" s="65"/>
      <c r="P20" s="65"/>
      <c r="Q20" s="65"/>
      <c r="R20" s="65"/>
      <c r="S20" s="65"/>
      <c r="T20" s="65"/>
      <c r="U20" s="65"/>
      <c r="V20" s="65"/>
      <c r="W20" s="65"/>
      <c r="X20" s="65"/>
      <c r="Y20" s="65"/>
      <c r="Z20" s="65"/>
    </row>
    <row r="21" ht="14.25" customHeight="1">
      <c r="A21" s="86" t="s">
        <v>117</v>
      </c>
      <c r="B21" s="85">
        <f>SUM(B14:B20)</f>
        <v>621.0993333</v>
      </c>
      <c r="C21" s="83">
        <v>0.0</v>
      </c>
      <c r="D21" s="83">
        <v>0.0</v>
      </c>
      <c r="E21" s="83">
        <v>0.0</v>
      </c>
      <c r="F21" s="83">
        <v>0.0</v>
      </c>
      <c r="G21" s="87">
        <v>0.0</v>
      </c>
      <c r="H21" s="35"/>
      <c r="I21" s="35"/>
      <c r="J21" s="65"/>
      <c r="K21" s="65"/>
      <c r="L21" s="65"/>
      <c r="M21" s="65"/>
      <c r="N21" s="65"/>
      <c r="O21" s="65"/>
      <c r="P21" s="65"/>
      <c r="Q21" s="65"/>
      <c r="R21" s="65"/>
      <c r="S21" s="65"/>
      <c r="T21" s="65"/>
      <c r="U21" s="65"/>
      <c r="V21" s="65"/>
      <c r="W21" s="65"/>
      <c r="X21" s="65"/>
      <c r="Y21" s="65"/>
      <c r="Z21" s="65"/>
    </row>
    <row r="22" ht="14.25" customHeight="1">
      <c r="A22" s="82" t="s">
        <v>170</v>
      </c>
      <c r="B22" s="83"/>
      <c r="C22" s="85">
        <v>24.2</v>
      </c>
      <c r="D22" s="85">
        <v>206.0</v>
      </c>
      <c r="E22" s="85">
        <v>300.0</v>
      </c>
      <c r="F22" s="85">
        <v>400.0</v>
      </c>
      <c r="G22" s="88">
        <v>450.0</v>
      </c>
      <c r="H22" s="65"/>
      <c r="I22" s="35"/>
      <c r="J22" s="65"/>
      <c r="K22" s="89"/>
      <c r="L22" s="65"/>
      <c r="M22" s="65"/>
      <c r="N22" s="65"/>
      <c r="O22" s="65"/>
      <c r="P22" s="65"/>
      <c r="Q22" s="65"/>
      <c r="R22" s="65"/>
      <c r="S22" s="65"/>
      <c r="T22" s="65"/>
      <c r="U22" s="65"/>
      <c r="V22" s="65"/>
      <c r="W22" s="65"/>
      <c r="X22" s="65"/>
      <c r="Y22" s="65"/>
      <c r="Z22" s="65"/>
    </row>
    <row r="23" ht="14.25" customHeight="1">
      <c r="A23" s="82" t="s">
        <v>171</v>
      </c>
      <c r="B23" s="83">
        <v>8.0</v>
      </c>
      <c r="C23" s="85">
        <f t="shared" ref="C23:G23" si="1">1/3 *C22</f>
        <v>8.066666667</v>
      </c>
      <c r="D23" s="85">
        <f t="shared" si="1"/>
        <v>68.66666667</v>
      </c>
      <c r="E23" s="85">
        <f t="shared" si="1"/>
        <v>100</v>
      </c>
      <c r="F23" s="85">
        <f t="shared" si="1"/>
        <v>133.3333333</v>
      </c>
      <c r="G23" s="88">
        <f t="shared" si="1"/>
        <v>150</v>
      </c>
      <c r="H23" s="65"/>
      <c r="I23" s="35"/>
      <c r="J23" s="65"/>
      <c r="K23" s="89"/>
      <c r="L23" s="65"/>
      <c r="M23" s="65"/>
      <c r="N23" s="65"/>
      <c r="O23" s="65"/>
      <c r="P23" s="65"/>
      <c r="Q23" s="65"/>
      <c r="R23" s="65"/>
      <c r="S23" s="65"/>
      <c r="T23" s="65"/>
      <c r="U23" s="65"/>
      <c r="V23" s="65"/>
      <c r="W23" s="65"/>
      <c r="X23" s="65"/>
      <c r="Y23" s="65"/>
      <c r="Z23" s="65"/>
    </row>
    <row r="24" ht="14.25" customHeight="1">
      <c r="A24" s="82" t="s">
        <v>172</v>
      </c>
      <c r="B24" s="35"/>
      <c r="C24" s="85">
        <f t="shared" ref="C24:G24" si="2">0.18*C22</f>
        <v>4.356</v>
      </c>
      <c r="D24" s="83">
        <f t="shared" si="2"/>
        <v>37.08</v>
      </c>
      <c r="E24" s="83">
        <f t="shared" si="2"/>
        <v>54</v>
      </c>
      <c r="F24" s="83">
        <f t="shared" si="2"/>
        <v>72</v>
      </c>
      <c r="G24" s="87">
        <f t="shared" si="2"/>
        <v>81</v>
      </c>
      <c r="H24" s="65"/>
      <c r="I24" s="35"/>
      <c r="J24" s="65"/>
      <c r="K24" s="89"/>
      <c r="L24" s="65"/>
      <c r="M24" s="65"/>
      <c r="N24" s="65"/>
      <c r="O24" s="65"/>
      <c r="P24" s="65"/>
      <c r="Q24" s="65"/>
      <c r="R24" s="65"/>
      <c r="S24" s="65"/>
      <c r="T24" s="65"/>
      <c r="U24" s="65"/>
      <c r="V24" s="65"/>
      <c r="W24" s="65"/>
      <c r="X24" s="65"/>
      <c r="Y24" s="65"/>
      <c r="Z24" s="65"/>
    </row>
    <row r="25" ht="14.25" customHeight="1">
      <c r="A25" s="82" t="s">
        <v>173</v>
      </c>
      <c r="B25" s="35"/>
      <c r="C25" s="85">
        <f t="shared" ref="C25:G25" si="3">0.24*C22</f>
        <v>5.808</v>
      </c>
      <c r="D25" s="83">
        <f t="shared" si="3"/>
        <v>49.44</v>
      </c>
      <c r="E25" s="83">
        <f t="shared" si="3"/>
        <v>72</v>
      </c>
      <c r="F25" s="83">
        <f t="shared" si="3"/>
        <v>96</v>
      </c>
      <c r="G25" s="87">
        <f t="shared" si="3"/>
        <v>108</v>
      </c>
      <c r="H25" s="65"/>
      <c r="I25" s="35"/>
      <c r="J25" s="65"/>
      <c r="K25" s="89"/>
      <c r="L25" s="65"/>
      <c r="M25" s="65"/>
      <c r="N25" s="65"/>
      <c r="O25" s="65"/>
      <c r="P25" s="65"/>
      <c r="Q25" s="65"/>
      <c r="R25" s="65"/>
      <c r="S25" s="65"/>
      <c r="T25" s="65"/>
      <c r="U25" s="65"/>
      <c r="V25" s="65"/>
      <c r="W25" s="65"/>
      <c r="X25" s="65"/>
      <c r="Y25" s="65"/>
      <c r="Z25" s="65"/>
    </row>
    <row r="26" ht="14.25" customHeight="1">
      <c r="A26" s="82" t="s">
        <v>174</v>
      </c>
      <c r="B26" s="35"/>
      <c r="C26" s="85">
        <f t="shared" ref="C26:G26" si="4">0.21*C22</f>
        <v>5.082</v>
      </c>
      <c r="D26" s="83">
        <f t="shared" si="4"/>
        <v>43.26</v>
      </c>
      <c r="E26" s="83">
        <f t="shared" si="4"/>
        <v>63</v>
      </c>
      <c r="F26" s="83">
        <f t="shared" si="4"/>
        <v>84</v>
      </c>
      <c r="G26" s="87">
        <f t="shared" si="4"/>
        <v>94.5</v>
      </c>
      <c r="H26" s="65"/>
      <c r="I26" s="35"/>
      <c r="J26" s="65"/>
      <c r="K26" s="89"/>
      <c r="L26" s="65"/>
      <c r="M26" s="65"/>
      <c r="N26" s="65"/>
      <c r="O26" s="65"/>
      <c r="P26" s="65"/>
      <c r="Q26" s="65"/>
      <c r="R26" s="65"/>
      <c r="S26" s="65"/>
      <c r="T26" s="65"/>
      <c r="U26" s="65"/>
      <c r="V26" s="65"/>
      <c r="W26" s="65"/>
      <c r="X26" s="65"/>
      <c r="Y26" s="65"/>
      <c r="Z26" s="65"/>
    </row>
    <row r="27" ht="14.25" customHeight="1">
      <c r="A27" s="90" t="s">
        <v>175</v>
      </c>
      <c r="B27" s="91">
        <f t="shared" ref="B27:G27" si="5">SUM(B21:B26)</f>
        <v>629.0993333</v>
      </c>
      <c r="C27" s="91">
        <f t="shared" si="5"/>
        <v>47.51266667</v>
      </c>
      <c r="D27" s="91">
        <f t="shared" si="5"/>
        <v>404.4466667</v>
      </c>
      <c r="E27" s="91">
        <f t="shared" si="5"/>
        <v>589</v>
      </c>
      <c r="F27" s="91">
        <f t="shared" si="5"/>
        <v>785.3333333</v>
      </c>
      <c r="G27" s="92">
        <f t="shared" si="5"/>
        <v>883.5</v>
      </c>
      <c r="H27" s="65"/>
      <c r="I27" s="35"/>
      <c r="J27" s="65"/>
      <c r="K27" s="65"/>
      <c r="L27" s="65"/>
      <c r="M27" s="65"/>
      <c r="N27" s="65"/>
      <c r="O27" s="65"/>
      <c r="P27" s="65"/>
      <c r="Q27" s="65"/>
      <c r="R27" s="65"/>
      <c r="S27" s="65"/>
      <c r="T27" s="65"/>
      <c r="U27" s="65"/>
      <c r="V27" s="65"/>
      <c r="W27" s="65"/>
      <c r="X27" s="65"/>
      <c r="Y27" s="65"/>
      <c r="Z27" s="65"/>
    </row>
    <row r="28" ht="14.25" customHeight="1">
      <c r="A28" s="82" t="s">
        <v>176</v>
      </c>
      <c r="B28" s="35"/>
      <c r="C28" s="85">
        <f t="shared" ref="C28:G28" si="6">C55*($G$6-$G$7)</f>
        <v>645.612</v>
      </c>
      <c r="D28" s="85">
        <f t="shared" si="6"/>
        <v>2582.448</v>
      </c>
      <c r="E28" s="85">
        <f t="shared" si="6"/>
        <v>3873.672</v>
      </c>
      <c r="F28" s="85">
        <f t="shared" si="6"/>
        <v>5649.105</v>
      </c>
      <c r="G28" s="88">
        <f t="shared" si="6"/>
        <v>8070.15</v>
      </c>
      <c r="H28" s="35"/>
      <c r="I28" s="35"/>
      <c r="J28" s="65"/>
      <c r="K28" s="65"/>
      <c r="L28" s="65"/>
      <c r="M28" s="65"/>
      <c r="N28" s="65"/>
      <c r="O28" s="65"/>
      <c r="P28" s="65"/>
      <c r="Q28" s="65"/>
      <c r="R28" s="65"/>
      <c r="S28" s="65"/>
      <c r="T28" s="65"/>
      <c r="U28" s="65"/>
      <c r="V28" s="65"/>
      <c r="W28" s="65"/>
      <c r="X28" s="65"/>
      <c r="Y28" s="65"/>
      <c r="Z28" s="65"/>
    </row>
    <row r="29" ht="14.25" customHeight="1">
      <c r="A29" s="90" t="s">
        <v>177</v>
      </c>
      <c r="B29" s="83">
        <v>0.0</v>
      </c>
      <c r="C29" s="85">
        <f t="shared" ref="C29:G29" si="7">SUM(C28)</f>
        <v>645.612</v>
      </c>
      <c r="D29" s="85">
        <f t="shared" si="7"/>
        <v>2582.448</v>
      </c>
      <c r="E29" s="85">
        <f t="shared" si="7"/>
        <v>3873.672</v>
      </c>
      <c r="F29" s="85">
        <f t="shared" si="7"/>
        <v>5649.105</v>
      </c>
      <c r="G29" s="88">
        <f t="shared" si="7"/>
        <v>8070.15</v>
      </c>
      <c r="H29" s="35" t="s">
        <v>178</v>
      </c>
      <c r="I29" s="35" t="s">
        <v>179</v>
      </c>
      <c r="J29" s="65"/>
      <c r="K29" s="65"/>
      <c r="L29" s="65"/>
      <c r="M29" s="65"/>
      <c r="N29" s="65"/>
      <c r="O29" s="65"/>
      <c r="P29" s="65"/>
      <c r="Q29" s="65"/>
      <c r="R29" s="65"/>
      <c r="S29" s="65"/>
      <c r="T29" s="65"/>
      <c r="U29" s="65"/>
      <c r="V29" s="65"/>
      <c r="W29" s="65"/>
      <c r="X29" s="65"/>
      <c r="Y29" s="65"/>
      <c r="Z29" s="65"/>
    </row>
    <row r="30" ht="14.25" customHeight="1">
      <c r="A30" s="86" t="s">
        <v>180</v>
      </c>
      <c r="B30" s="85">
        <f t="shared" ref="B30:G30" si="8">B29-B27</f>
        <v>-629.0993333</v>
      </c>
      <c r="C30" s="85">
        <f t="shared" si="8"/>
        <v>598.0993333</v>
      </c>
      <c r="D30" s="85">
        <f t="shared" si="8"/>
        <v>2178.001333</v>
      </c>
      <c r="E30" s="85">
        <f t="shared" si="8"/>
        <v>3284.672</v>
      </c>
      <c r="F30" s="85">
        <f t="shared" si="8"/>
        <v>4863.771667</v>
      </c>
      <c r="G30" s="88">
        <f t="shared" si="8"/>
        <v>7186.65</v>
      </c>
      <c r="H30" s="35" t="s">
        <v>135</v>
      </c>
      <c r="I30" s="93">
        <f>(SUM(B29:G29)-SUM(B27:G27))/SUM(B27:G27)</f>
        <v>5.235897118</v>
      </c>
      <c r="J30" s="65"/>
      <c r="K30" s="65"/>
      <c r="L30" s="65"/>
      <c r="M30" s="65"/>
      <c r="N30" s="65"/>
      <c r="O30" s="65"/>
      <c r="P30" s="65"/>
      <c r="Q30" s="65"/>
      <c r="R30" s="65"/>
      <c r="S30" s="65"/>
      <c r="T30" s="65"/>
      <c r="U30" s="65"/>
      <c r="V30" s="65"/>
      <c r="W30" s="65"/>
      <c r="X30" s="65"/>
      <c r="Y30" s="65"/>
      <c r="Z30" s="65"/>
    </row>
    <row r="31" ht="14.25" customHeight="1">
      <c r="A31" s="86" t="s">
        <v>181</v>
      </c>
      <c r="B31" s="94">
        <f>B30</f>
        <v>-629.0993333</v>
      </c>
      <c r="C31" s="94">
        <f t="shared" ref="C31:G31" si="9">B31+C30</f>
        <v>-31</v>
      </c>
      <c r="D31" s="94">
        <f t="shared" si="9"/>
        <v>2147.001333</v>
      </c>
      <c r="E31" s="94">
        <f t="shared" si="9"/>
        <v>5431.673333</v>
      </c>
      <c r="F31" s="94">
        <f t="shared" si="9"/>
        <v>10295.445</v>
      </c>
      <c r="G31" s="95">
        <f t="shared" si="9"/>
        <v>17482.095</v>
      </c>
      <c r="H31" s="35" t="s">
        <v>182</v>
      </c>
      <c r="I31" s="96">
        <f t="array" ref="I31">NPV(B5,C30:G30)+B30</f>
        <v>12865.59058</v>
      </c>
      <c r="J31" s="65"/>
      <c r="K31" s="65"/>
      <c r="L31" s="65"/>
      <c r="M31" s="65"/>
      <c r="N31" s="65"/>
      <c r="O31" s="65"/>
      <c r="P31" s="65"/>
      <c r="Q31" s="65"/>
      <c r="R31" s="65"/>
      <c r="S31" s="65"/>
      <c r="T31" s="65"/>
      <c r="U31" s="65"/>
      <c r="V31" s="65"/>
      <c r="W31" s="65"/>
      <c r="X31" s="65"/>
      <c r="Y31" s="65"/>
      <c r="Z31" s="65"/>
    </row>
    <row r="32" ht="14.25" customHeight="1">
      <c r="A32" s="35"/>
      <c r="B32" s="97" t="s">
        <v>108</v>
      </c>
      <c r="F32" s="35"/>
      <c r="G32" s="35"/>
      <c r="H32" s="35"/>
      <c r="I32" s="83"/>
      <c r="J32" s="65"/>
      <c r="K32" s="65"/>
      <c r="L32" s="65"/>
      <c r="M32" s="65"/>
      <c r="N32" s="65"/>
      <c r="O32" s="65"/>
      <c r="P32" s="65"/>
      <c r="Q32" s="65"/>
      <c r="R32" s="65"/>
      <c r="S32" s="65"/>
      <c r="T32" s="65"/>
      <c r="U32" s="65"/>
      <c r="V32" s="65"/>
      <c r="W32" s="65"/>
      <c r="X32" s="65"/>
      <c r="Y32" s="65"/>
      <c r="Z32" s="65"/>
    </row>
    <row r="33" ht="14.25" customHeight="1">
      <c r="A33" s="98" t="s">
        <v>183</v>
      </c>
      <c r="B33" s="81">
        <v>0.0</v>
      </c>
      <c r="C33" s="81">
        <v>1.0</v>
      </c>
      <c r="D33" s="81">
        <v>2.0</v>
      </c>
      <c r="E33" s="81">
        <v>3.0</v>
      </c>
      <c r="F33" s="81">
        <v>4.0</v>
      </c>
      <c r="G33" s="81">
        <v>5.0</v>
      </c>
      <c r="H33" s="35"/>
      <c r="I33" s="35"/>
      <c r="J33" s="65"/>
      <c r="K33" s="65"/>
      <c r="L33" s="35"/>
      <c r="M33" s="65"/>
      <c r="N33" s="65"/>
      <c r="O33" s="65"/>
      <c r="P33" s="65"/>
      <c r="Q33" s="65"/>
      <c r="R33" s="65"/>
      <c r="S33" s="65"/>
      <c r="T33" s="65"/>
      <c r="U33" s="65"/>
      <c r="V33" s="65"/>
      <c r="W33" s="65"/>
      <c r="X33" s="65"/>
      <c r="Y33" s="65"/>
      <c r="Z33" s="65"/>
    </row>
    <row r="34" ht="14.25" customHeight="1">
      <c r="A34" s="82" t="s">
        <v>184</v>
      </c>
      <c r="B34" s="83">
        <v>530.0</v>
      </c>
      <c r="C34" s="35"/>
      <c r="D34" s="35"/>
      <c r="E34" s="35"/>
      <c r="F34" s="35"/>
      <c r="G34" s="82"/>
      <c r="H34" s="35"/>
      <c r="I34" s="35"/>
      <c r="J34" s="65"/>
      <c r="K34" s="65"/>
      <c r="L34" s="65"/>
      <c r="M34" s="65"/>
      <c r="N34" s="65"/>
      <c r="O34" s="65"/>
      <c r="P34" s="65"/>
      <c r="Q34" s="65"/>
      <c r="R34" s="65"/>
      <c r="S34" s="65"/>
      <c r="T34" s="65"/>
      <c r="U34" s="65"/>
      <c r="V34" s="65"/>
      <c r="W34" s="65"/>
      <c r="X34" s="65"/>
      <c r="Y34" s="65"/>
      <c r="Z34" s="65"/>
    </row>
    <row r="35" ht="14.25" customHeight="1">
      <c r="A35" s="90" t="s">
        <v>185</v>
      </c>
      <c r="B35" s="83">
        <v>530.0</v>
      </c>
      <c r="C35" s="83">
        <v>0.0</v>
      </c>
      <c r="D35" s="83">
        <v>0.0</v>
      </c>
      <c r="E35" s="83">
        <v>0.0</v>
      </c>
      <c r="F35" s="83">
        <v>0.0</v>
      </c>
      <c r="G35" s="87">
        <v>0.0</v>
      </c>
      <c r="H35" s="35"/>
      <c r="I35" s="35"/>
      <c r="J35" s="65"/>
      <c r="K35" s="65"/>
      <c r="L35" s="65"/>
      <c r="M35" s="65"/>
      <c r="N35" s="65"/>
      <c r="O35" s="65"/>
      <c r="P35" s="65"/>
      <c r="Q35" s="65"/>
      <c r="R35" s="65"/>
      <c r="S35" s="65"/>
      <c r="T35" s="65"/>
      <c r="U35" s="65"/>
      <c r="V35" s="65"/>
      <c r="W35" s="65"/>
      <c r="X35" s="65"/>
      <c r="Y35" s="65"/>
      <c r="Z35" s="65"/>
    </row>
    <row r="36" ht="14.25" customHeight="1">
      <c r="A36" s="82" t="s">
        <v>170</v>
      </c>
      <c r="B36" s="83"/>
      <c r="C36" s="85">
        <v>24.2</v>
      </c>
      <c r="D36" s="85">
        <v>206.0</v>
      </c>
      <c r="E36" s="85">
        <v>300.0</v>
      </c>
      <c r="F36" s="85">
        <v>400.0</v>
      </c>
      <c r="G36" s="88">
        <v>450.0</v>
      </c>
      <c r="H36" s="35"/>
      <c r="I36" s="65"/>
      <c r="J36" s="65"/>
      <c r="K36" s="65"/>
      <c r="L36" s="65"/>
      <c r="M36" s="65"/>
      <c r="N36" s="65"/>
      <c r="O36" s="65"/>
      <c r="P36" s="65"/>
      <c r="Q36" s="65"/>
      <c r="R36" s="65"/>
      <c r="S36" s="65"/>
      <c r="T36" s="65"/>
      <c r="U36" s="65"/>
      <c r="V36" s="65"/>
      <c r="W36" s="65"/>
      <c r="X36" s="65"/>
      <c r="Y36" s="65"/>
      <c r="Z36" s="65"/>
    </row>
    <row r="37" ht="14.25" customHeight="1">
      <c r="A37" s="82" t="s">
        <v>171</v>
      </c>
      <c r="B37" s="83">
        <f t="shared" ref="B37:G37" si="10">B23</f>
        <v>8</v>
      </c>
      <c r="C37" s="85">
        <f t="shared" si="10"/>
        <v>8.066666667</v>
      </c>
      <c r="D37" s="85">
        <f t="shared" si="10"/>
        <v>68.66666667</v>
      </c>
      <c r="E37" s="85">
        <f t="shared" si="10"/>
        <v>100</v>
      </c>
      <c r="F37" s="85">
        <f t="shared" si="10"/>
        <v>133.3333333</v>
      </c>
      <c r="G37" s="88">
        <f t="shared" si="10"/>
        <v>150</v>
      </c>
      <c r="H37" s="35"/>
      <c r="I37" s="35"/>
      <c r="J37" s="65"/>
      <c r="K37" s="65"/>
      <c r="L37" s="65"/>
      <c r="M37" s="65"/>
      <c r="N37" s="65"/>
      <c r="O37" s="65"/>
      <c r="P37" s="65"/>
      <c r="Q37" s="65"/>
      <c r="R37" s="65"/>
      <c r="S37" s="65"/>
      <c r="T37" s="65"/>
      <c r="U37" s="65"/>
      <c r="V37" s="65"/>
      <c r="W37" s="65"/>
      <c r="X37" s="65"/>
      <c r="Y37" s="65"/>
      <c r="Z37" s="65"/>
    </row>
    <row r="38" ht="14.25" customHeight="1">
      <c r="A38" s="82" t="s">
        <v>172</v>
      </c>
      <c r="B38" s="35"/>
      <c r="C38" s="85">
        <f t="shared" ref="C38:G38" si="11">C24</f>
        <v>4.356</v>
      </c>
      <c r="D38" s="83">
        <f t="shared" si="11"/>
        <v>37.08</v>
      </c>
      <c r="E38" s="83">
        <f t="shared" si="11"/>
        <v>54</v>
      </c>
      <c r="F38" s="83">
        <f t="shared" si="11"/>
        <v>72</v>
      </c>
      <c r="G38" s="87">
        <f t="shared" si="11"/>
        <v>81</v>
      </c>
      <c r="H38" s="35"/>
      <c r="I38" s="35"/>
      <c r="J38" s="65"/>
      <c r="K38" s="65"/>
      <c r="L38" s="65"/>
      <c r="M38" s="65"/>
      <c r="N38" s="65"/>
      <c r="O38" s="65"/>
      <c r="P38" s="65"/>
      <c r="Q38" s="65"/>
      <c r="R38" s="65"/>
      <c r="S38" s="65"/>
      <c r="T38" s="65"/>
      <c r="U38" s="65"/>
      <c r="V38" s="65"/>
      <c r="W38" s="65"/>
      <c r="X38" s="65"/>
      <c r="Y38" s="65"/>
      <c r="Z38" s="65"/>
    </row>
    <row r="39" ht="14.25" customHeight="1">
      <c r="A39" s="82" t="s">
        <v>173</v>
      </c>
      <c r="B39" s="35"/>
      <c r="C39" s="85">
        <f t="shared" ref="C39:G39" si="12">C25</f>
        <v>5.808</v>
      </c>
      <c r="D39" s="83">
        <f t="shared" si="12"/>
        <v>49.44</v>
      </c>
      <c r="E39" s="83">
        <f t="shared" si="12"/>
        <v>72</v>
      </c>
      <c r="F39" s="83">
        <f t="shared" si="12"/>
        <v>96</v>
      </c>
      <c r="G39" s="87">
        <f t="shared" si="12"/>
        <v>108</v>
      </c>
      <c r="H39" s="35"/>
      <c r="I39" s="35"/>
      <c r="J39" s="65"/>
      <c r="K39" s="65"/>
      <c r="L39" s="65"/>
      <c r="M39" s="65"/>
      <c r="N39" s="65"/>
      <c r="O39" s="65"/>
      <c r="P39" s="65"/>
      <c r="Q39" s="65"/>
      <c r="R39" s="65"/>
      <c r="S39" s="65"/>
      <c r="T39" s="65"/>
      <c r="U39" s="65"/>
      <c r="V39" s="65"/>
      <c r="W39" s="65"/>
      <c r="X39" s="65"/>
      <c r="Y39" s="65"/>
      <c r="Z39" s="65"/>
    </row>
    <row r="40" ht="14.25" customHeight="1">
      <c r="A40" s="82" t="s">
        <v>174</v>
      </c>
      <c r="B40" s="35"/>
      <c r="C40" s="85">
        <f t="shared" ref="C40:G40" si="13">C26</f>
        <v>5.082</v>
      </c>
      <c r="D40" s="83">
        <f t="shared" si="13"/>
        <v>43.26</v>
      </c>
      <c r="E40" s="83">
        <f t="shared" si="13"/>
        <v>63</v>
      </c>
      <c r="F40" s="83">
        <f t="shared" si="13"/>
        <v>84</v>
      </c>
      <c r="G40" s="87">
        <f t="shared" si="13"/>
        <v>94.5</v>
      </c>
      <c r="H40" s="35"/>
      <c r="I40" s="35"/>
      <c r="J40" s="65"/>
      <c r="K40" s="65"/>
      <c r="L40" s="65"/>
      <c r="M40" s="65"/>
      <c r="N40" s="65"/>
      <c r="O40" s="65"/>
      <c r="P40" s="65"/>
      <c r="Q40" s="65"/>
      <c r="R40" s="65"/>
      <c r="S40" s="65"/>
      <c r="T40" s="65"/>
      <c r="U40" s="65"/>
      <c r="V40" s="65"/>
      <c r="W40" s="65"/>
      <c r="X40" s="65"/>
      <c r="Y40" s="65"/>
      <c r="Z40" s="65"/>
    </row>
    <row r="41" ht="14.25" customHeight="1">
      <c r="A41" s="90" t="s">
        <v>175</v>
      </c>
      <c r="B41" s="99">
        <v>533.6</v>
      </c>
      <c r="C41" s="91">
        <f t="shared" ref="C41:G41" si="14">SUM(C35:C40)</f>
        <v>47.51266667</v>
      </c>
      <c r="D41" s="91">
        <f t="shared" si="14"/>
        <v>404.4466667</v>
      </c>
      <c r="E41" s="91">
        <f t="shared" si="14"/>
        <v>589</v>
      </c>
      <c r="F41" s="91">
        <f t="shared" si="14"/>
        <v>785.3333333</v>
      </c>
      <c r="G41" s="92">
        <f t="shared" si="14"/>
        <v>883.5</v>
      </c>
      <c r="H41" s="35"/>
      <c r="I41" s="35"/>
      <c r="J41" s="65"/>
      <c r="K41" s="65"/>
      <c r="L41" s="65"/>
      <c r="M41" s="65"/>
      <c r="N41" s="65"/>
      <c r="O41" s="65"/>
      <c r="P41" s="65"/>
      <c r="Q41" s="65"/>
      <c r="R41" s="65"/>
      <c r="S41" s="65"/>
      <c r="T41" s="65"/>
      <c r="U41" s="65"/>
      <c r="V41" s="65"/>
      <c r="W41" s="65"/>
      <c r="X41" s="65"/>
      <c r="Y41" s="65"/>
      <c r="Z41" s="65"/>
    </row>
    <row r="42" ht="14.25" customHeight="1">
      <c r="A42" s="82" t="s">
        <v>176</v>
      </c>
      <c r="B42" s="35"/>
      <c r="C42" s="85">
        <f t="shared" ref="C42:G42" si="15">C55*($G$6-$G$7)</f>
        <v>645.612</v>
      </c>
      <c r="D42" s="85">
        <f t="shared" si="15"/>
        <v>2582.448</v>
      </c>
      <c r="E42" s="85">
        <f t="shared" si="15"/>
        <v>3873.672</v>
      </c>
      <c r="F42" s="85">
        <f t="shared" si="15"/>
        <v>5649.105</v>
      </c>
      <c r="G42" s="88">
        <f t="shared" si="15"/>
        <v>8070.15</v>
      </c>
      <c r="H42" s="35"/>
      <c r="I42" s="35"/>
      <c r="J42" s="65"/>
      <c r="K42" s="65"/>
      <c r="L42" s="65"/>
      <c r="M42" s="65"/>
      <c r="N42" s="65"/>
      <c r="O42" s="65"/>
      <c r="P42" s="65"/>
      <c r="Q42" s="65"/>
      <c r="R42" s="65"/>
      <c r="S42" s="65"/>
      <c r="T42" s="65"/>
      <c r="U42" s="65"/>
      <c r="V42" s="65"/>
      <c r="W42" s="65"/>
      <c r="X42" s="65"/>
      <c r="Y42" s="65"/>
      <c r="Z42" s="65"/>
    </row>
    <row r="43" ht="14.25" customHeight="1">
      <c r="A43" s="90" t="s">
        <v>177</v>
      </c>
      <c r="B43" s="83">
        <v>0.0</v>
      </c>
      <c r="C43" s="85">
        <f t="shared" ref="C43:G43" si="16">SUM(C42)</f>
        <v>645.612</v>
      </c>
      <c r="D43" s="85">
        <f t="shared" si="16"/>
        <v>2582.448</v>
      </c>
      <c r="E43" s="85">
        <f t="shared" si="16"/>
        <v>3873.672</v>
      </c>
      <c r="F43" s="85">
        <f t="shared" si="16"/>
        <v>5649.105</v>
      </c>
      <c r="G43" s="88">
        <f t="shared" si="16"/>
        <v>8070.15</v>
      </c>
      <c r="H43" s="35" t="s">
        <v>178</v>
      </c>
      <c r="I43" s="35" t="s">
        <v>179</v>
      </c>
      <c r="J43" s="65"/>
      <c r="K43" s="65"/>
      <c r="L43" s="65"/>
      <c r="M43" s="65"/>
      <c r="N43" s="65"/>
      <c r="O43" s="65"/>
      <c r="P43" s="65"/>
      <c r="Q43" s="65"/>
      <c r="R43" s="65"/>
      <c r="S43" s="65"/>
      <c r="T43" s="65"/>
      <c r="U43" s="65"/>
      <c r="V43" s="65"/>
      <c r="W43" s="65"/>
      <c r="X43" s="65"/>
      <c r="Y43" s="65"/>
      <c r="Z43" s="65"/>
    </row>
    <row r="44" ht="14.25" customHeight="1">
      <c r="A44" s="86" t="s">
        <v>180</v>
      </c>
      <c r="B44" s="83">
        <v>-533.6</v>
      </c>
      <c r="C44" s="85">
        <f t="shared" ref="C44:G44" si="17">C43-C41</f>
        <v>598.0993333</v>
      </c>
      <c r="D44" s="85">
        <f t="shared" si="17"/>
        <v>2178.001333</v>
      </c>
      <c r="E44" s="85">
        <f t="shared" si="17"/>
        <v>3284.672</v>
      </c>
      <c r="F44" s="85">
        <f t="shared" si="17"/>
        <v>4863.771667</v>
      </c>
      <c r="G44" s="88">
        <f t="shared" si="17"/>
        <v>7186.65</v>
      </c>
      <c r="H44" s="35" t="s">
        <v>135</v>
      </c>
      <c r="I44" s="93">
        <f>(SUM(B43:G43)-SUM(B41:G41))/SUM(B41:G41)</f>
        <v>5.419508564</v>
      </c>
      <c r="J44" s="65"/>
      <c r="K44" s="65"/>
      <c r="L44" s="65"/>
      <c r="M44" s="65"/>
      <c r="N44" s="65"/>
      <c r="O44" s="65"/>
      <c r="P44" s="65"/>
      <c r="Q44" s="65"/>
      <c r="R44" s="65"/>
      <c r="S44" s="65"/>
      <c r="T44" s="65"/>
      <c r="U44" s="65"/>
      <c r="V44" s="65"/>
      <c r="W44" s="65"/>
      <c r="X44" s="65"/>
      <c r="Y44" s="65"/>
      <c r="Z44" s="65"/>
    </row>
    <row r="45" ht="14.25" customHeight="1">
      <c r="A45" s="86" t="s">
        <v>181</v>
      </c>
      <c r="B45" s="100">
        <v>-533.6</v>
      </c>
      <c r="C45" s="94">
        <f t="shared" ref="C45:G45" si="18">B45+C44</f>
        <v>64.49933333</v>
      </c>
      <c r="D45" s="94">
        <f t="shared" si="18"/>
        <v>2242.500667</v>
      </c>
      <c r="E45" s="94">
        <f t="shared" si="18"/>
        <v>5527.172667</v>
      </c>
      <c r="F45" s="94">
        <f t="shared" si="18"/>
        <v>10390.94433</v>
      </c>
      <c r="G45" s="95">
        <f t="shared" si="18"/>
        <v>17577.59433</v>
      </c>
      <c r="H45" s="35" t="s">
        <v>182</v>
      </c>
      <c r="I45" s="96">
        <f t="array" ref="I45">NPV(B5,C44:G44)+B44</f>
        <v>12961.08991</v>
      </c>
      <c r="J45" s="65"/>
      <c r="K45" s="65"/>
      <c r="L45" s="65"/>
      <c r="M45" s="65"/>
      <c r="N45" s="65"/>
      <c r="O45" s="65"/>
      <c r="P45" s="65"/>
      <c r="Q45" s="65"/>
      <c r="R45" s="65"/>
      <c r="S45" s="65"/>
      <c r="T45" s="65"/>
      <c r="U45" s="65"/>
      <c r="V45" s="65"/>
      <c r="W45" s="65"/>
      <c r="X45" s="65"/>
      <c r="Y45" s="65"/>
      <c r="Z45" s="65"/>
    </row>
    <row r="46" ht="14.25" customHeight="1">
      <c r="A46" s="35"/>
      <c r="B46" s="35"/>
      <c r="C46" s="35"/>
      <c r="D46" s="35"/>
      <c r="E46" s="35"/>
      <c r="F46" s="35"/>
      <c r="G46" s="35"/>
      <c r="H46" s="65"/>
      <c r="I46" s="65"/>
      <c r="J46" s="65"/>
      <c r="K46" s="65"/>
      <c r="L46" s="65"/>
      <c r="M46" s="65"/>
      <c r="N46" s="65"/>
      <c r="O46" s="65"/>
      <c r="P46" s="65"/>
      <c r="Q46" s="65"/>
      <c r="R46" s="65"/>
      <c r="S46" s="65"/>
      <c r="T46" s="65"/>
      <c r="U46" s="65"/>
      <c r="V46" s="65"/>
      <c r="W46" s="65"/>
      <c r="X46" s="65"/>
      <c r="Y46" s="65"/>
      <c r="Z46" s="65"/>
    </row>
    <row r="47" ht="14.25" customHeight="1">
      <c r="A47" s="65"/>
      <c r="B47" s="65"/>
      <c r="C47" s="65"/>
      <c r="D47" s="65"/>
      <c r="E47" s="101"/>
      <c r="F47" s="65"/>
      <c r="G47" s="65"/>
      <c r="H47" s="65"/>
      <c r="I47" s="65"/>
      <c r="J47" s="65"/>
      <c r="K47" s="65"/>
      <c r="L47" s="65"/>
      <c r="M47" s="65"/>
      <c r="N47" s="65"/>
      <c r="O47" s="65"/>
      <c r="P47" s="65"/>
      <c r="Q47" s="65"/>
      <c r="R47" s="65"/>
      <c r="S47" s="65"/>
      <c r="T47" s="65"/>
      <c r="U47" s="65"/>
      <c r="V47" s="65"/>
      <c r="W47" s="65"/>
      <c r="X47" s="65"/>
      <c r="Y47" s="65"/>
      <c r="Z47" s="65"/>
    </row>
    <row r="48" ht="14.25" customHeight="1">
      <c r="A48" s="65"/>
      <c r="B48" s="65"/>
      <c r="C48" s="65"/>
      <c r="D48" s="65"/>
      <c r="E48" s="101"/>
      <c r="F48" s="65"/>
      <c r="G48" s="65"/>
      <c r="H48" s="65"/>
      <c r="I48" s="65"/>
      <c r="J48" s="65"/>
      <c r="K48" s="65"/>
      <c r="L48" s="65"/>
      <c r="M48" s="65"/>
      <c r="N48" s="65"/>
      <c r="O48" s="65"/>
      <c r="P48" s="65"/>
      <c r="Q48" s="65"/>
      <c r="R48" s="65"/>
      <c r="S48" s="65"/>
      <c r="T48" s="65"/>
      <c r="U48" s="65"/>
      <c r="V48" s="65"/>
      <c r="W48" s="65"/>
      <c r="X48" s="65"/>
      <c r="Y48" s="65"/>
      <c r="Z48" s="65"/>
    </row>
    <row r="49" ht="14.25" customHeight="1">
      <c r="A49" s="102" t="s">
        <v>186</v>
      </c>
      <c r="B49" s="103"/>
      <c r="C49" s="103"/>
      <c r="D49" s="103"/>
      <c r="E49" s="104"/>
      <c r="F49" s="103"/>
      <c r="G49" s="103"/>
      <c r="H49" s="65"/>
      <c r="I49" s="65"/>
      <c r="J49" s="65"/>
      <c r="K49" s="65"/>
      <c r="L49" s="65"/>
      <c r="M49" s="65"/>
      <c r="N49" s="65"/>
      <c r="O49" s="65"/>
      <c r="P49" s="65"/>
      <c r="Q49" s="65"/>
      <c r="R49" s="65"/>
      <c r="S49" s="65"/>
      <c r="T49" s="65"/>
      <c r="U49" s="65"/>
      <c r="V49" s="65"/>
      <c r="W49" s="65"/>
      <c r="X49" s="65"/>
      <c r="Y49" s="65"/>
      <c r="Z49" s="65"/>
    </row>
    <row r="50" ht="14.25" customHeight="1">
      <c r="A50" s="65" t="s">
        <v>141</v>
      </c>
      <c r="B50" s="65">
        <v>120.0</v>
      </c>
      <c r="C50" s="65"/>
      <c r="D50" s="65" t="s">
        <v>142</v>
      </c>
      <c r="E50" s="101">
        <v>0.1</v>
      </c>
      <c r="F50" s="65"/>
      <c r="G50" s="65"/>
      <c r="H50" s="65"/>
      <c r="I50" s="65"/>
      <c r="J50" s="65"/>
      <c r="K50" s="65"/>
      <c r="L50" s="65"/>
      <c r="M50" s="65"/>
      <c r="N50" s="65"/>
      <c r="O50" s="65"/>
      <c r="P50" s="65"/>
      <c r="Q50" s="65"/>
      <c r="R50" s="65"/>
      <c r="S50" s="65"/>
      <c r="T50" s="65"/>
      <c r="U50" s="65"/>
      <c r="V50" s="65"/>
      <c r="W50" s="65"/>
      <c r="X50" s="65"/>
      <c r="Y50" s="65"/>
      <c r="Z50" s="65"/>
    </row>
    <row r="51" ht="14.25" customHeight="1">
      <c r="A51" s="65" t="s">
        <v>143</v>
      </c>
      <c r="B51" s="65">
        <v>60.0</v>
      </c>
      <c r="C51" s="65"/>
      <c r="D51" s="65"/>
      <c r="E51" s="101">
        <v>0.9</v>
      </c>
      <c r="F51" s="65"/>
      <c r="G51" s="65"/>
      <c r="H51" s="65"/>
      <c r="I51" s="65"/>
      <c r="J51" s="65"/>
      <c r="K51" s="65"/>
      <c r="L51" s="65"/>
      <c r="M51" s="65"/>
      <c r="N51" s="65"/>
      <c r="O51" s="65"/>
      <c r="P51" s="65"/>
      <c r="Q51" s="65"/>
      <c r="R51" s="65"/>
      <c r="S51" s="65"/>
      <c r="T51" s="65"/>
      <c r="U51" s="65"/>
      <c r="V51" s="65"/>
      <c r="W51" s="65"/>
      <c r="X51" s="65"/>
      <c r="Y51" s="65"/>
      <c r="Z51" s="65"/>
    </row>
    <row r="52" ht="14.25" customHeight="1">
      <c r="A52" s="65" t="s">
        <v>144</v>
      </c>
      <c r="B52" s="65">
        <f>($E$50*$B$50 + $E$51*$B$51)</f>
        <v>66</v>
      </c>
      <c r="C52" s="65"/>
      <c r="D52" s="65"/>
      <c r="E52" s="65"/>
      <c r="F52" s="65"/>
      <c r="G52" s="65"/>
      <c r="H52" s="65"/>
      <c r="I52" s="65"/>
      <c r="J52" s="65"/>
      <c r="K52" s="65"/>
      <c r="L52" s="65"/>
      <c r="M52" s="65"/>
      <c r="N52" s="65"/>
      <c r="O52" s="65"/>
      <c r="P52" s="65"/>
      <c r="Q52" s="65"/>
      <c r="R52" s="65"/>
      <c r="S52" s="65"/>
      <c r="T52" s="65"/>
      <c r="U52" s="65"/>
      <c r="V52" s="65"/>
      <c r="W52" s="65"/>
      <c r="X52" s="65"/>
      <c r="Y52" s="65"/>
      <c r="Z52" s="65"/>
    </row>
    <row r="53" ht="14.25" customHeight="1">
      <c r="A53" s="105" t="s">
        <v>187</v>
      </c>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14.25" customHeight="1">
      <c r="A54" s="65" t="s">
        <v>188</v>
      </c>
      <c r="B54" s="65"/>
      <c r="C54" s="65">
        <v>20.0</v>
      </c>
      <c r="D54" s="65">
        <v>80.0</v>
      </c>
      <c r="E54" s="65">
        <v>120.0</v>
      </c>
      <c r="F54" s="65">
        <v>175.0</v>
      </c>
      <c r="G54" s="65">
        <f>250</f>
        <v>250</v>
      </c>
      <c r="H54" s="65"/>
      <c r="I54" s="65"/>
      <c r="J54" s="65"/>
      <c r="K54" s="65"/>
      <c r="L54" s="65"/>
      <c r="M54" s="65"/>
      <c r="N54" s="65"/>
      <c r="O54" s="65"/>
      <c r="P54" s="65"/>
      <c r="Q54" s="65"/>
      <c r="R54" s="65"/>
      <c r="S54" s="65"/>
      <c r="T54" s="65"/>
      <c r="U54" s="65"/>
      <c r="V54" s="65"/>
      <c r="W54" s="65"/>
      <c r="X54" s="65"/>
      <c r="Y54" s="65"/>
      <c r="Z54" s="65"/>
    </row>
    <row r="55" ht="14.25" customHeight="1">
      <c r="A55" s="65" t="s">
        <v>128</v>
      </c>
      <c r="B55" s="65"/>
      <c r="C55" s="65">
        <f t="shared" ref="C55:G55" si="19">$B$52*365*C54/1000</f>
        <v>481.8</v>
      </c>
      <c r="D55" s="65">
        <f t="shared" si="19"/>
        <v>1927.2</v>
      </c>
      <c r="E55" s="65">
        <f t="shared" si="19"/>
        <v>2890.8</v>
      </c>
      <c r="F55" s="65">
        <f t="shared" si="19"/>
        <v>4215.75</v>
      </c>
      <c r="G55" s="65">
        <f t="shared" si="19"/>
        <v>6022.5</v>
      </c>
      <c r="H55" s="65"/>
      <c r="I55" s="65"/>
      <c r="J55" s="65"/>
      <c r="K55" s="65"/>
      <c r="L55" s="65"/>
      <c r="M55" s="65"/>
      <c r="N55" s="65"/>
      <c r="O55" s="65"/>
      <c r="P55" s="65"/>
      <c r="Q55" s="65"/>
      <c r="R55" s="65"/>
      <c r="S55" s="65"/>
      <c r="T55" s="65"/>
      <c r="U55" s="65"/>
      <c r="V55" s="65"/>
      <c r="W55" s="65"/>
      <c r="X55" s="65"/>
      <c r="Y55" s="65"/>
      <c r="Z55" s="65"/>
    </row>
    <row r="56" ht="14.2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14.25" customHeight="1">
      <c r="A57" s="35" t="s">
        <v>147</v>
      </c>
      <c r="B57" s="67"/>
      <c r="C57" s="83">
        <v>20.0</v>
      </c>
      <c r="D57" s="106">
        <v>40.0</v>
      </c>
      <c r="E57" s="106">
        <v>90.0</v>
      </c>
      <c r="F57" s="106">
        <v>120.0</v>
      </c>
      <c r="G57" s="106">
        <v>150.0</v>
      </c>
      <c r="H57" s="65"/>
      <c r="I57" s="65"/>
      <c r="J57" s="65"/>
      <c r="K57" s="65"/>
      <c r="L57" s="65"/>
      <c r="M57" s="65"/>
      <c r="N57" s="65"/>
      <c r="O57" s="65"/>
      <c r="P57" s="65"/>
      <c r="Q57" s="65"/>
      <c r="R57" s="65"/>
      <c r="S57" s="65"/>
      <c r="T57" s="65"/>
      <c r="U57" s="65"/>
      <c r="V57" s="65"/>
      <c r="W57" s="65"/>
      <c r="X57" s="65"/>
      <c r="Y57" s="65"/>
      <c r="Z57" s="65"/>
    </row>
    <row r="58" ht="14.25" customHeight="1">
      <c r="A58" s="35" t="s">
        <v>146</v>
      </c>
      <c r="B58" s="67"/>
      <c r="C58" s="107"/>
      <c r="D58" s="108">
        <v>1.0</v>
      </c>
      <c r="E58" s="108">
        <v>1.25</v>
      </c>
      <c r="F58" s="108">
        <v>0.33</v>
      </c>
      <c r="G58" s="108">
        <v>0.25</v>
      </c>
      <c r="H58" s="65"/>
      <c r="I58" s="65"/>
      <c r="J58" s="65"/>
      <c r="K58" s="65"/>
      <c r="L58" s="65"/>
      <c r="M58" s="65"/>
      <c r="N58" s="65"/>
      <c r="O58" s="65"/>
      <c r="P58" s="65"/>
      <c r="Q58" s="65"/>
      <c r="R58" s="65"/>
      <c r="S58" s="65"/>
      <c r="T58" s="65"/>
      <c r="U58" s="65"/>
      <c r="V58" s="65"/>
      <c r="W58" s="65"/>
      <c r="X58" s="65"/>
      <c r="Y58" s="65"/>
      <c r="Z58" s="65"/>
    </row>
    <row r="59" ht="14.25" customHeight="1">
      <c r="A59" s="35" t="s">
        <v>128</v>
      </c>
      <c r="B59" s="67"/>
      <c r="C59" s="109">
        <v>481.8</v>
      </c>
      <c r="D59" s="109">
        <v>963.6</v>
      </c>
      <c r="E59" s="109">
        <v>2168.1</v>
      </c>
      <c r="F59" s="109">
        <v>2890.8</v>
      </c>
      <c r="G59" s="109">
        <v>3613.5</v>
      </c>
      <c r="H59" s="65"/>
      <c r="I59" s="65"/>
      <c r="J59" s="65"/>
      <c r="K59" s="65"/>
      <c r="L59" s="65"/>
      <c r="M59" s="65"/>
      <c r="N59" s="65"/>
      <c r="O59" s="65"/>
      <c r="P59" s="65"/>
      <c r="Q59" s="65"/>
      <c r="R59" s="65"/>
      <c r="S59" s="65"/>
      <c r="T59" s="65"/>
      <c r="U59" s="65"/>
      <c r="V59" s="65"/>
      <c r="W59" s="65"/>
      <c r="X59" s="65"/>
      <c r="Y59" s="65"/>
      <c r="Z59" s="65"/>
    </row>
    <row r="60" ht="14.25" customHeight="1">
      <c r="A60" s="67"/>
      <c r="B60" s="67"/>
      <c r="C60" s="107"/>
      <c r="D60" s="107"/>
      <c r="E60" s="107"/>
      <c r="F60" s="107"/>
      <c r="G60" s="107"/>
      <c r="H60" s="65"/>
      <c r="I60" s="65"/>
      <c r="J60" s="65"/>
      <c r="K60" s="65"/>
      <c r="L60" s="65"/>
      <c r="M60" s="65"/>
      <c r="N60" s="65"/>
      <c r="O60" s="65"/>
      <c r="P60" s="65"/>
      <c r="Q60" s="65"/>
      <c r="R60" s="65"/>
      <c r="S60" s="65"/>
      <c r="T60" s="65"/>
      <c r="U60" s="65"/>
      <c r="V60" s="65"/>
      <c r="W60" s="65"/>
      <c r="X60" s="65"/>
      <c r="Y60" s="65"/>
      <c r="Z60" s="65"/>
    </row>
    <row r="61" ht="14.25" customHeight="1">
      <c r="A61" s="35" t="s">
        <v>148</v>
      </c>
      <c r="B61" s="67"/>
      <c r="C61" s="109">
        <v>20.0</v>
      </c>
      <c r="D61" s="109">
        <v>36.0</v>
      </c>
      <c r="E61" s="109">
        <v>50.0</v>
      </c>
      <c r="F61" s="109">
        <v>80.0</v>
      </c>
      <c r="G61" s="109">
        <f>100</f>
        <v>100</v>
      </c>
      <c r="H61" s="65"/>
      <c r="I61" s="65"/>
      <c r="J61" s="65"/>
      <c r="K61" s="65"/>
      <c r="L61" s="65"/>
      <c r="M61" s="65"/>
      <c r="N61" s="65"/>
      <c r="O61" s="65"/>
      <c r="P61" s="65"/>
      <c r="Q61" s="65"/>
      <c r="R61" s="65"/>
      <c r="S61" s="65"/>
      <c r="T61" s="65"/>
      <c r="U61" s="65"/>
      <c r="V61" s="65"/>
      <c r="W61" s="65"/>
      <c r="X61" s="65"/>
      <c r="Y61" s="65"/>
      <c r="Z61" s="65"/>
    </row>
    <row r="62" ht="14.25" customHeight="1">
      <c r="A62" s="35" t="s">
        <v>146</v>
      </c>
      <c r="B62" s="67"/>
      <c r="C62" s="107"/>
      <c r="D62" s="108">
        <v>0.8</v>
      </c>
      <c r="E62" s="108">
        <v>0.39</v>
      </c>
      <c r="F62" s="108">
        <v>0.6</v>
      </c>
      <c r="G62" s="108">
        <v>0.25</v>
      </c>
      <c r="H62" s="65"/>
      <c r="I62" s="65"/>
      <c r="J62" s="65"/>
      <c r="K62" s="65"/>
      <c r="L62" s="65"/>
      <c r="M62" s="65"/>
      <c r="N62" s="65"/>
      <c r="O62" s="65"/>
      <c r="P62" s="65"/>
      <c r="Q62" s="65"/>
      <c r="R62" s="65"/>
      <c r="S62" s="65"/>
      <c r="T62" s="65"/>
      <c r="U62" s="65"/>
      <c r="V62" s="65"/>
      <c r="W62" s="65"/>
      <c r="X62" s="65"/>
      <c r="Y62" s="65"/>
      <c r="Z62" s="65"/>
    </row>
    <row r="63" ht="14.25" customHeight="1">
      <c r="A63" s="35" t="s">
        <v>128</v>
      </c>
      <c r="B63" s="67"/>
      <c r="C63" s="109">
        <f t="shared" ref="C63:G63" si="20">$B$52*365*C61/1000</f>
        <v>481.8</v>
      </c>
      <c r="D63" s="109">
        <f t="shared" si="20"/>
        <v>867.24</v>
      </c>
      <c r="E63" s="109">
        <f t="shared" si="20"/>
        <v>1204.5</v>
      </c>
      <c r="F63" s="109">
        <f t="shared" si="20"/>
        <v>1927.2</v>
      </c>
      <c r="G63" s="109">
        <f t="shared" si="20"/>
        <v>2409</v>
      </c>
      <c r="H63" s="65"/>
      <c r="I63" s="65"/>
      <c r="J63" s="65"/>
      <c r="K63" s="65"/>
      <c r="L63" s="65"/>
      <c r="M63" s="65"/>
      <c r="N63" s="65"/>
      <c r="O63" s="65"/>
      <c r="P63" s="65"/>
      <c r="Q63" s="65"/>
      <c r="R63" s="65"/>
      <c r="S63" s="65"/>
      <c r="T63" s="65"/>
      <c r="U63" s="65"/>
      <c r="V63" s="65"/>
      <c r="W63" s="65"/>
      <c r="X63" s="65"/>
      <c r="Y63" s="65"/>
      <c r="Z63" s="65"/>
    </row>
    <row r="64" ht="14.25" customHeight="1">
      <c r="A64" s="110" t="s">
        <v>149</v>
      </c>
      <c r="B64" s="103"/>
      <c r="C64" s="103"/>
      <c r="D64" s="103"/>
      <c r="E64" s="103"/>
      <c r="F64" s="103"/>
      <c r="G64" s="103"/>
      <c r="H64" s="65"/>
      <c r="I64" s="65"/>
      <c r="J64" s="65"/>
      <c r="K64" s="65"/>
      <c r="L64" s="65"/>
      <c r="M64" s="65"/>
      <c r="N64" s="65"/>
      <c r="O64" s="65"/>
      <c r="P64" s="65"/>
      <c r="Q64" s="65"/>
      <c r="R64" s="65"/>
      <c r="S64" s="65"/>
      <c r="T64" s="65"/>
      <c r="U64" s="65"/>
      <c r="V64" s="65"/>
      <c r="W64" s="65"/>
      <c r="X64" s="65"/>
      <c r="Y64" s="65"/>
      <c r="Z64" s="65"/>
    </row>
    <row r="65" ht="14.25" customHeight="1">
      <c r="A65" s="105" t="s">
        <v>189</v>
      </c>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4.25" customHeight="1">
      <c r="A66" s="65" t="s">
        <v>52</v>
      </c>
      <c r="B66" s="65" t="s">
        <v>190</v>
      </c>
      <c r="C66" s="65" t="s">
        <v>191</v>
      </c>
      <c r="D66" s="65" t="s">
        <v>192</v>
      </c>
      <c r="E66" s="65" t="s">
        <v>193</v>
      </c>
      <c r="F66" s="65"/>
      <c r="G66" s="65"/>
      <c r="H66" s="65"/>
      <c r="I66" s="65"/>
      <c r="J66" s="65"/>
      <c r="K66" s="65"/>
      <c r="L66" s="65"/>
      <c r="M66" s="65"/>
      <c r="N66" s="65"/>
      <c r="O66" s="65"/>
      <c r="P66" s="65"/>
      <c r="Q66" s="65"/>
      <c r="R66" s="65"/>
      <c r="S66" s="65"/>
      <c r="T66" s="65"/>
      <c r="U66" s="65"/>
      <c r="V66" s="65"/>
      <c r="W66" s="65"/>
      <c r="X66" s="65"/>
      <c r="Y66" s="65"/>
      <c r="Z66" s="65"/>
    </row>
    <row r="67" ht="14.25" customHeight="1">
      <c r="A67" s="65" t="s">
        <v>194</v>
      </c>
      <c r="B67" s="111" t="s">
        <v>195</v>
      </c>
      <c r="C67" s="111" t="s">
        <v>196</v>
      </c>
      <c r="D67" s="65" t="s">
        <v>84</v>
      </c>
      <c r="E67" s="65">
        <v>-162.19</v>
      </c>
      <c r="F67" s="65"/>
      <c r="G67" s="65"/>
      <c r="H67" s="65"/>
      <c r="I67" s="65"/>
      <c r="J67" s="65"/>
      <c r="K67" s="65"/>
      <c r="L67" s="65"/>
      <c r="M67" s="65"/>
      <c r="N67" s="65"/>
      <c r="O67" s="65"/>
      <c r="P67" s="65"/>
      <c r="Q67" s="65"/>
      <c r="R67" s="65"/>
      <c r="S67" s="65"/>
      <c r="T67" s="65"/>
      <c r="U67" s="65"/>
      <c r="V67" s="65"/>
      <c r="W67" s="65"/>
      <c r="X67" s="65"/>
      <c r="Y67" s="65"/>
      <c r="Z67" s="65"/>
    </row>
    <row r="68" ht="14.25" customHeight="1">
      <c r="A68" s="65" t="s">
        <v>197</v>
      </c>
      <c r="B68" s="111" t="s">
        <v>198</v>
      </c>
      <c r="C68" s="112">
        <v>0.0242</v>
      </c>
      <c r="D68" s="65" t="s">
        <v>84</v>
      </c>
      <c r="E68" s="65">
        <v>55.0</v>
      </c>
      <c r="F68" s="65"/>
      <c r="G68" s="65"/>
      <c r="H68" s="65"/>
      <c r="I68" s="65"/>
      <c r="J68" s="65"/>
      <c r="K68" s="65"/>
      <c r="L68" s="65"/>
      <c r="M68" s="65"/>
      <c r="N68" s="65"/>
      <c r="O68" s="65"/>
      <c r="P68" s="65"/>
      <c r="Q68" s="65"/>
      <c r="R68" s="65"/>
      <c r="S68" s="65"/>
      <c r="T68" s="65"/>
      <c r="U68" s="65"/>
      <c r="V68" s="65"/>
      <c r="W68" s="65"/>
      <c r="X68" s="65"/>
      <c r="Y68" s="65"/>
      <c r="Z68" s="65"/>
    </row>
    <row r="69" ht="14.25" customHeight="1">
      <c r="A69" s="65" t="s">
        <v>199</v>
      </c>
      <c r="B69" s="111" t="s">
        <v>195</v>
      </c>
      <c r="C69" s="112">
        <v>0.0502</v>
      </c>
      <c r="D69" s="65" t="s">
        <v>84</v>
      </c>
      <c r="E69" s="65">
        <v>148.86</v>
      </c>
      <c r="F69" s="65"/>
      <c r="G69" s="65"/>
      <c r="H69" s="65"/>
      <c r="I69" s="65"/>
      <c r="J69" s="65"/>
      <c r="K69" s="65"/>
      <c r="L69" s="65"/>
      <c r="M69" s="65"/>
      <c r="N69" s="65"/>
      <c r="O69" s="65"/>
      <c r="P69" s="65"/>
      <c r="Q69" s="65"/>
      <c r="R69" s="65"/>
      <c r="S69" s="65"/>
      <c r="T69" s="65"/>
      <c r="U69" s="65"/>
      <c r="V69" s="65"/>
      <c r="W69" s="65"/>
      <c r="X69" s="65"/>
      <c r="Y69" s="65"/>
      <c r="Z69" s="65"/>
    </row>
    <row r="70" ht="14.25" customHeight="1">
      <c r="A70" s="105" t="s">
        <v>200</v>
      </c>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4.25" customHeight="1">
      <c r="A71" s="65" t="s">
        <v>52</v>
      </c>
      <c r="B71" s="65" t="s">
        <v>190</v>
      </c>
      <c r="C71" s="65" t="s">
        <v>191</v>
      </c>
      <c r="D71" s="65" t="s">
        <v>192</v>
      </c>
      <c r="E71" s="65" t="s">
        <v>193</v>
      </c>
      <c r="F71" s="65"/>
      <c r="G71" s="65"/>
      <c r="H71" s="65"/>
      <c r="I71" s="65"/>
      <c r="J71" s="65"/>
      <c r="K71" s="65"/>
      <c r="L71" s="65"/>
      <c r="M71" s="65"/>
      <c r="N71" s="65"/>
      <c r="O71" s="65"/>
      <c r="P71" s="65"/>
      <c r="Q71" s="65"/>
      <c r="R71" s="65"/>
      <c r="S71" s="65"/>
      <c r="T71" s="65"/>
      <c r="U71" s="65"/>
      <c r="V71" s="65"/>
      <c r="W71" s="65"/>
      <c r="X71" s="65"/>
      <c r="Y71" s="65"/>
      <c r="Z71" s="65"/>
    </row>
    <row r="72" ht="14.25" customHeight="1">
      <c r="A72" s="65" t="s">
        <v>194</v>
      </c>
      <c r="B72" s="111" t="s">
        <v>195</v>
      </c>
      <c r="C72" s="111" t="s">
        <v>201</v>
      </c>
      <c r="D72" s="65" t="s">
        <v>84</v>
      </c>
      <c r="E72" s="113" t="s">
        <v>202</v>
      </c>
      <c r="F72" s="65"/>
      <c r="G72" s="65"/>
      <c r="H72" s="65"/>
      <c r="I72" s="65"/>
      <c r="J72" s="65"/>
      <c r="K72" s="65"/>
      <c r="L72" s="65"/>
      <c r="M72" s="65"/>
      <c r="N72" s="65"/>
      <c r="O72" s="65"/>
      <c r="P72" s="65"/>
      <c r="Q72" s="65"/>
      <c r="R72" s="65"/>
      <c r="S72" s="65"/>
      <c r="T72" s="65"/>
      <c r="U72" s="65"/>
      <c r="V72" s="65"/>
      <c r="W72" s="65"/>
      <c r="X72" s="65"/>
      <c r="Y72" s="65"/>
      <c r="Z72" s="65"/>
    </row>
    <row r="73" ht="14.25" customHeight="1">
      <c r="A73" s="65" t="s">
        <v>197</v>
      </c>
      <c r="B73" s="111" t="s">
        <v>198</v>
      </c>
      <c r="C73" s="112">
        <v>0.0249</v>
      </c>
      <c r="D73" s="65" t="s">
        <v>84</v>
      </c>
      <c r="E73" s="65">
        <v>54.93</v>
      </c>
      <c r="F73" s="65"/>
      <c r="G73" s="65"/>
      <c r="H73" s="65"/>
      <c r="I73" s="65"/>
      <c r="J73" s="65"/>
      <c r="K73" s="65"/>
      <c r="L73" s="65"/>
      <c r="M73" s="65"/>
      <c r="N73" s="65"/>
      <c r="O73" s="65"/>
      <c r="P73" s="65"/>
      <c r="Q73" s="65"/>
      <c r="R73" s="65"/>
      <c r="S73" s="65"/>
      <c r="T73" s="65"/>
      <c r="U73" s="65"/>
      <c r="V73" s="65"/>
      <c r="W73" s="65"/>
      <c r="X73" s="65"/>
      <c r="Y73" s="65"/>
      <c r="Z73" s="65"/>
    </row>
    <row r="74" ht="14.25" customHeight="1">
      <c r="A74" s="65" t="s">
        <v>199</v>
      </c>
      <c r="B74" s="111" t="s">
        <v>195</v>
      </c>
      <c r="C74" s="112">
        <v>0.0642</v>
      </c>
      <c r="D74" s="65" t="s">
        <v>84</v>
      </c>
      <c r="E74" s="65">
        <v>155.4</v>
      </c>
      <c r="F74" s="65"/>
      <c r="G74" s="65"/>
      <c r="H74" s="65"/>
      <c r="I74" s="65"/>
      <c r="J74" s="65"/>
      <c r="K74" s="65"/>
      <c r="L74" s="65"/>
      <c r="M74" s="65"/>
      <c r="N74" s="65"/>
      <c r="O74" s="65"/>
      <c r="P74" s="65"/>
      <c r="Q74" s="65"/>
      <c r="R74" s="65"/>
      <c r="S74" s="65"/>
      <c r="T74" s="65"/>
      <c r="U74" s="65"/>
      <c r="V74" s="65"/>
      <c r="W74" s="65"/>
      <c r="X74" s="65"/>
      <c r="Y74" s="65"/>
      <c r="Z74" s="65"/>
    </row>
    <row r="75" ht="14.2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4.2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4.2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4.2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4.2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4.2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4.2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4.2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4.2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4.2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4.2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4.2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4.2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4.2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4.2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4.2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4.2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4.2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4.2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4.2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4.2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4.2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4.2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4.2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4.2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4.2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4.2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4.2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4.2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4.2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4.2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4.2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4.2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4.2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4.2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4.2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4.2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4.2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4.2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4.2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4.2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4.2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4.2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4.2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4.2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4.2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4.2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4.2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4.2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4.2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4.2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4.2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4.2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4.2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4.2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4.2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4.2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4.2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4.2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4.2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4.2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4.2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4.2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4.2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4.2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4.2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4.2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4.2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4.2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4.2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4.2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4.2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4.2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4.2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4.2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4.2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4.2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4.2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4.2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4.2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4.2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4.2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4.2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4.2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4.2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4.2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4.2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4.2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4.2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4.2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4.2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4.2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4.2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4.2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4.2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4.2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4.2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4.2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4.2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4.2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4.2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4.2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4.2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4.2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4.2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4.2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4.2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4.2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4.2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4.2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4.2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4.2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4.2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4.2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4.2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4.2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4.2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4.2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4.2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4.2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4.2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4.2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4.2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4.2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4.2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4.2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4.2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4.2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4.2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4.2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4.2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4.2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4.2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4.2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4.2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4.2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4.2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4.2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4.2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4.2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4.2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4.2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4.2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4.2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4.2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4.2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4.2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4.2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4.2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4.2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4.2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4.2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4.2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4.2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4.2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4.2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4.2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4.2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4.2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4.2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4.2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4.2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4.2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4.2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4.2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4.2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4.2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4.2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4.2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4.2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4.2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4.2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4.2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4.2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4.2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4.2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4.2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4.2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4.2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4.2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4.2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4.2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4.2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4.2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4.2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4.2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4.2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4.2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4.2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4.2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4.2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4.2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4.2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4.2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4.2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4.2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4.2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4.2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4.2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4.2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5.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5.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5.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5.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5.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5.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5.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5.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5.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5.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5.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5.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5.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5.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5.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5.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5.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5.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5.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5.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5.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5.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5.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5.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5.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5.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5.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5.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5.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5.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5.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5.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5.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5.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5.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5.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5.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5.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5.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5.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5.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5.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5.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5.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5.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5.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5.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5.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5.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5.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5.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5.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5.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5.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5.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5.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5.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5.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5.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5.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5.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5.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5.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5.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5.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5.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5.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5.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5.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5.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5.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5.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5.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5.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5.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5.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5.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5.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5.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5.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5.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5.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5.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5.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5.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5.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5.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5.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5.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5.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5.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5.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5.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5.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5.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5.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5.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5.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5.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5.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5.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5.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5.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5.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5.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5.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5.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5.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5.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5.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5.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5.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5.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5.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5.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5.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5.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5.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5.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5.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5.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5.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5.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5.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5.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5.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5.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5.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5.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5.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5.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5.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5.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5.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5.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5.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5.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5.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5.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5.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5.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5.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5.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5.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5.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5.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5.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5.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5.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5.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5.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5.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5.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5.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5.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5.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5.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5.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5.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5.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5.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5.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5.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5.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5.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5.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5.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5.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5.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5.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5.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5.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5.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5.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5.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5.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5.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5.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5.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5.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5.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5.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5.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5.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5.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5.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5.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5.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5.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5.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5.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5.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5.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5.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5.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5.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5.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5.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5.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5.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5.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5.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5.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5.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5.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5.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5.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5.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5.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5.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5.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5.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5.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5.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5.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5.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5.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5.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5.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5.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5.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5.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5.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5.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5.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5.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5.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5.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5.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5.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5.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5.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5.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5.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5.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5.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5.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5.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5.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5.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5.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5.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5.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5.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5.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5.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5.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5.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5.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5.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5.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5.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5.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5.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5.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5.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5.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5.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5.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5.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5.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5.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5.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5.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5.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5.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5.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5.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5.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5.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5.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5.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5.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5.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5.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5.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5.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5.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5.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5.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5.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5.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5.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5.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5.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5.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5.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5.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5.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5.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5.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5.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5.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5.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5.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5.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5.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5.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5.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5.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5.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5.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5.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5.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5.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5.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5.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5.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5.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5.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5.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5.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5.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5.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5.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5.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5.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5.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5.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5.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5.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5.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5.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5.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5.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5.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5.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5.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5.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5.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5.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5.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5.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5.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5.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5.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5.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5.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5.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5.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5.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5.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5.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5.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5.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5.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5.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5.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5.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5.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5.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5.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5.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5.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5.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5.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5.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5.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5.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5.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5.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5.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5.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5.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5.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5.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5.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5.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5.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5.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5.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5.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5.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5.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5.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5.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5.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5.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5.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5.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5.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5.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5.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5.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5.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5.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5.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5.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5.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5.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5.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5.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5.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5.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5.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5.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5.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5.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5.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5.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5.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5.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5.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5.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5.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5.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5.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5.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5.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5.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5.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5.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5.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5.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5.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5.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5.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5.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5.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5.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5.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5.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5.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5.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5.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5.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5.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5.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5.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5.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5.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5.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5.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5.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5.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5.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5.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5.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5.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5.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5.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5.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5.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5.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5.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5.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5.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5.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5.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5.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5.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5.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5.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5.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5.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5.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5.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5.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5.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5.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5.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5.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5.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5.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5.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5.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5.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5.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5.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5.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5.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5.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5.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5.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5.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5.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5.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5.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5.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5.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5.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5.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5.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5.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5.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5.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5.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5.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5.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5.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5.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5.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5.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5.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5.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5.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5.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5.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5.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5.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5.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5.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5.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5.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5.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5.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5.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5.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5.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5.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5.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5.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5.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5.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5.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5.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5.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5.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5.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5.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5.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5.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5.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5.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5.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5.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5.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5.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5.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5.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5.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5.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5.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5.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5.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5.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5.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5.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5.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5.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5.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5.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5.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5.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5.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5.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5.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5.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5.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5.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5.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5.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5.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5.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5.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5.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5.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5.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5.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5.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5.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5.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5.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5.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5.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5.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5.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5.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5.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5.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5.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5.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5.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5.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5.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5.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5.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5.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5.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5.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5.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5.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5.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5.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5.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5.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5.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5.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5.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5.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5.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5.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5.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5.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5.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5.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5.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5.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5.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5.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5.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5.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5.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5.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5.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5.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5.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5.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5.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5.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5.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5.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5.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5.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5.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5.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5.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5.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5.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5.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5.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5.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5.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5.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5.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5.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5.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5.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5.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5.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5.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5.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5.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5.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5.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5.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5.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5.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5.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5.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5.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5.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5.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5.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5.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5.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5.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5.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5.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5.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5.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5.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5.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5.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5.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5.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5.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5.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5.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5.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5.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5.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5.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5.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5.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5.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5.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5.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5.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5.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5.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5.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5.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5.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5.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5.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5.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5.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5.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5.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5.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5.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5.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5.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5.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5.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5.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5.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5.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5.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5.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5.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5.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5.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5.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5.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5.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5.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5.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5.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5.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5.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5.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5.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5.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5.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5.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5.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5.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5.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5.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5.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5.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5.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5.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5.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5.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5.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5.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5.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5.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5.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5.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5.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5.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5.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7">
    <mergeCell ref="A1:G1"/>
    <mergeCell ref="A4:G4"/>
    <mergeCell ref="D5:F5"/>
    <mergeCell ref="D6:F6"/>
    <mergeCell ref="D7:F7"/>
    <mergeCell ref="B12:F12"/>
    <mergeCell ref="B32:E3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2025-10-29T15:36:06Z</dcterms:created>
  <dc:creator>tg2934</dc:creator>
</cp:coreProperties>
</file>